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C6FDD5FE-BEB5-4517-971D-9C9269848DD7}" xr6:coauthVersionLast="47" xr6:coauthVersionMax="47" xr10:uidLastSave="{00000000-0000-0000-0000-000000000000}"/>
  <bookViews>
    <workbookView xWindow="14715" yWindow="-16320" windowWidth="29040" windowHeight="157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1" l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18" i="1"/>
  <c r="D117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61" i="1"/>
  <c r="D160" i="1"/>
  <c r="D159" i="1"/>
  <c r="D158" i="1"/>
  <c r="D157" i="1"/>
  <c r="D156" i="1"/>
  <c r="D155" i="1"/>
  <c r="D154" i="1"/>
  <c r="D152" i="1"/>
  <c r="D151" i="1"/>
  <c r="D150" i="1"/>
  <c r="D149" i="1"/>
  <c r="D148" i="1"/>
  <c r="D147" i="1"/>
  <c r="D146" i="1"/>
  <c r="D145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<sst xmlns="http://schemas.openxmlformats.org/spreadsheetml/2006/main" count="2269" uniqueCount="863">
  <si>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</si>
  <si>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</si>
  <si>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</si>
  <si>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</si>
  <si>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</si>
  <si>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</si>
  <si>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</si>
  <si>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</si>
  <si>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</si>
  <si>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</si>
  <si>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</si>
  <si>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</si>
  <si>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</si>
  <si>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</si>
  <si>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</si>
  <si>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</si>
  <si>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</si>
  <si>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</si>
  <si>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</si>
  <si>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</si>
  <si>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</si>
  <si>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</si>
  <si>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</si>
  <si>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</si>
  <si>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</si>
  <si>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</si>
  <si>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</si>
  <si>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</si>
  <si>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</si>
  <si>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</si>
  <si>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</si>
  <si>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</si>
  <si>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</si>
  <si>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</si>
  <si>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</si>
  <si>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</si>
  <si>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</si>
  <si>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</si>
  <si>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</si>
  <si>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</si>
  <si>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</si>
  <si>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</si>
  <si>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</si>
  <si>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</si>
  <si>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</si>
  <si>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</si>
  <si>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</si>
  <si>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</si>
  <si>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</si>
  <si>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</si>
  <si>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</si>
  <si>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</si>
  <si>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</si>
  <si>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</si>
  <si>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</si>
  <si>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</si>
  <si>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</si>
  <si>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</si>
  <si>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</si>
  <si>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</si>
  <si>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</si>
  <si>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</si>
  <si>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</si>
  <si>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</si>
  <si>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</si>
  <si>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</si>
  <si>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</si>
  <si>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</si>
  <si>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</si>
  <si>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</si>
  <si>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</si>
  <si>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</si>
  <si>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</si>
  <si>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</si>
  <si>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</si>
  <si>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</si>
  <si>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</si>
  <si>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</si>
  <si>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</si>
  <si>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</si>
  <si>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</si>
  <si>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</si>
  <si>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</si>
  <si>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</si>
  <si>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</si>
  <si>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</si>
  <si>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</si>
  <si>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</si>
  <si>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</si>
  <si>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</si>
  <si>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</si>
  <si>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</si>
  <si>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</si>
  <si>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</si>
  <si>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</si>
  <si>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</si>
  <si>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</si>
  <si>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</si>
  <si>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</si>
  <si>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</si>
  <si>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</si>
  <si>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</si>
  <si>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</si>
  <si>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</si>
  <si>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</si>
  <si>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</si>
  <si>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</si>
  <si>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</si>
  <si>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</si>
  <si>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</si>
  <si>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</si>
  <si>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</si>
  <si>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</si>
  <si>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</si>
  <si>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</si>
  <si>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</si>
  <si>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</si>
  <si>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</si>
  <si>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</si>
  <si>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</si>
  <si>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</si>
  <si>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</si>
  <si>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</si>
  <si>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</si>
  <si>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</si>
  <si>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</si>
  <si>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</si>
  <si>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</si>
  <si>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</si>
  <si>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</si>
  <si>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</si>
  <si>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</si>
  <si>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</si>
  <si>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</si>
  <si>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</si>
  <si>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</si>
  <si>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</si>
  <si>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</si>
  <si>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</si>
  <si>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</si>
  <si>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</si>
  <si>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</si>
  <si>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</si>
  <si>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</si>
  <si>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</si>
  <si>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</si>
  <si>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</si>
  <si>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</si>
  <si>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</si>
  <si>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</si>
  <si>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</si>
  <si>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</si>
  <si>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</si>
  <si>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</si>
  <si>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</si>
  <si>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</si>
  <si>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</si>
  <si>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</si>
  <si>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</si>
  <si>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</si>
  <si>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</si>
  <si>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</si>
  <si>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</si>
  <si>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</si>
  <si>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</si>
  <si>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</si>
  <si>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</si>
  <si>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</si>
  <si>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</si>
  <si>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</si>
  <si>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</si>
  <si>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</si>
  <si>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</si>
  <si>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</si>
  <si>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</si>
  <si>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</si>
  <si>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</si>
  <si>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</si>
  <si>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</si>
  <si>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</si>
  <si>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</si>
  <si>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</si>
  <si>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</si>
  <si>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</si>
  <si>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</si>
  <si>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</si>
  <si>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</si>
  <si>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</si>
  <si>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</si>
  <si>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</si>
  <si>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</si>
  <si>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</si>
  <si>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</si>
  <si>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</si>
  <si>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</si>
  <si>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</si>
  <si>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</si>
  <si>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</si>
  <si>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</si>
  <si>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</si>
  <si>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</si>
  <si>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</si>
  <si>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</si>
  <si>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</si>
  <si>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</si>
  <si>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</si>
  <si>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</si>
  <si>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</si>
  <si>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</si>
  <si>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</si>
  <si>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</si>
  <si>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</si>
  <si>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</si>
  <si>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</si>
  <si>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</si>
  <si>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</si>
  <si>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</si>
  <si>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</si>
  <si>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</si>
  <si>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</si>
  <si>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</si>
  <si>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</si>
  <si>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</si>
  <si>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</si>
  <si>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</si>
  <si>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</si>
  <si>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</si>
  <si>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</si>
  <si>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</si>
  <si>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</si>
  <si>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</si>
  <si>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</si>
  <si>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</si>
  <si>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</si>
  <si>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</si>
  <si>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</si>
  <si>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</si>
  <si>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</si>
  <si>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</si>
  <si>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</si>
  <si>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</si>
  <si>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</si>
  <si>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</si>
  <si>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</si>
  <si>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</si>
  <si>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</si>
  <si>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</si>
  <si>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</si>
  <si>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</si>
  <si>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</si>
  <si>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</si>
  <si>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</si>
  <si>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</si>
  <si>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</si>
  <si>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</si>
  <si>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</si>
  <si>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</si>
  <si>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</si>
  <si>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</si>
  <si>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</si>
  <si>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</si>
  <si>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</si>
  <si>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</si>
  <si>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</si>
  <si>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</si>
  <si>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</si>
  <si>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</si>
  <si>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</si>
  <si>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</si>
  <si>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</si>
  <si>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</si>
  <si>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</si>
  <si>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</si>
  <si>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</si>
  <si>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</si>
  <si>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</si>
  <si>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</si>
  <si>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</si>
  <si>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</si>
  <si>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</si>
  <si>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</si>
  <si>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</si>
  <si>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</si>
  <si>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</si>
  <si>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</si>
  <si>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</si>
  <si>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</si>
  <si>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</si>
  <si>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</si>
  <si>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</si>
  <si>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</si>
  <si>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</si>
  <si>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</si>
  <si>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</si>
  <si>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</si>
  <si>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</si>
  <si>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</si>
  <si>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</si>
  <si>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</si>
  <si>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</si>
  <si>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</si>
  <si>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</si>
  <si>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</si>
  <si>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</si>
  <si>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</si>
  <si>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</si>
  <si>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</si>
  <si>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</si>
  <si>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</si>
  <si>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</si>
  <si>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</si>
  <si>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</si>
  <si>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</si>
  <si>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</si>
  <si>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</si>
  <si>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</si>
  <si>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</si>
  <si>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</si>
  <si>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</si>
  <si>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</si>
  <si>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</si>
  <si>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</si>
  <si>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</si>
  <si>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</si>
  <si>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</si>
  <si>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</si>
  <si>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</si>
  <si>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</si>
  <si>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</si>
  <si>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</si>
  <si>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</si>
  <si>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</si>
  <si>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</si>
  <si>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</si>
  <si>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</si>
  <si>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</si>
  <si>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</si>
  <si>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</si>
  <si>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</si>
  <si>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</si>
  <si>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</si>
  <si>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</si>
  <si>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</si>
  <si>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</si>
  <si>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</si>
  <si>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</si>
  <si>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</si>
  <si>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</si>
  <si>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</si>
  <si>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</si>
  <si>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</si>
  <si>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</si>
  <si>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</si>
  <si>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</si>
  <si>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</si>
  <si>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</si>
  <si>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</si>
  <si>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</si>
  <si>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</si>
  <si>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</si>
  <si>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</si>
  <si>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</si>
  <si>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</si>
  <si>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</si>
  <si>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</si>
  <si>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</si>
  <si>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</si>
  <si>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</si>
  <si>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</si>
  <si>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</si>
  <si>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</si>
  <si>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</si>
  <si>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</si>
  <si>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</si>
  <si>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</si>
  <si>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</si>
  <si>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</si>
  <si>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</si>
  <si>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</si>
  <si>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</si>
  <si>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</si>
  <si>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</si>
  <si>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</si>
  <si>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</si>
  <si>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</si>
  <si>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</si>
  <si>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</si>
  <si>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</si>
  <si>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</si>
  <si>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</si>
  <si>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</si>
  <si>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</si>
  <si>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</si>
  <si>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</si>
  <si>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</si>
  <si>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</si>
  <si>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</si>
  <si>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</si>
  <si>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</si>
  <si>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</si>
  <si>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</si>
  <si>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</si>
  <si>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</si>
  <si>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</si>
  <si>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</si>
  <si>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</si>
  <si>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</si>
  <si>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</si>
  <si>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</si>
  <si>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</si>
  <si>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</si>
  <si>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</si>
  <si>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</si>
  <si>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</si>
  <si>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</si>
  <si>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</si>
  <si>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</si>
  <si>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</si>
  <si>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</si>
  <si>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</si>
  <si>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</si>
  <si>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</si>
  <si>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</si>
  <si>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</si>
  <si>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</si>
  <si>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</si>
  <si>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</si>
  <si>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</si>
  <si>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</si>
  <si>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</si>
  <si>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</si>
  <si>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</si>
  <si>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</si>
  <si>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</si>
  <si>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</si>
  <si>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</si>
  <si>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</si>
  <si>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</si>
  <si>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</si>
  <si>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</si>
  <si>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</si>
  <si>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</si>
  <si>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</si>
  <si>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</si>
  <si>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</si>
  <si>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</si>
  <si>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</si>
  <si>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</si>
  <si>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</si>
  <si>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</si>
  <si>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</si>
  <si>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</si>
  <si>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</si>
  <si>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</si>
  <si>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</si>
  <si>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</si>
  <si>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</si>
  <si>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</si>
  <si>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</si>
  <si>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</si>
  <si>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</si>
  <si>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</si>
  <si>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</si>
  <si>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</si>
  <si>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</si>
  <si>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</si>
  <si>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</si>
  <si>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</si>
  <si>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</si>
  <si>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</si>
  <si>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</si>
  <si>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</si>
  <si>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</si>
  <si>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</si>
  <si>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</si>
  <si>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</si>
  <si>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</si>
  <si>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</si>
  <si>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</si>
  <si>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</si>
  <si>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</si>
  <si>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</si>
  <si>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</si>
  <si>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</si>
  <si>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</si>
  <si>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</si>
  <si>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</si>
  <si>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</si>
  <si>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</si>
  <si>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</si>
  <si>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</si>
  <si>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</si>
  <si>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</si>
  <si>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</si>
  <si>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</si>
  <si>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</si>
  <si>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</si>
  <si>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</si>
  <si>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</si>
  <si>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</si>
  <si>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</si>
  <si>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</si>
  <si>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</si>
  <si>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</si>
  <si>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</si>
  <si>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</si>
  <si>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</si>
  <si>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</si>
  <si>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</si>
  <si>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</si>
  <si>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</si>
  <si>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</si>
  <si>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</si>
  <si>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</si>
  <si>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</si>
  <si>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</si>
  <si>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</si>
  <si>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</si>
  <si>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</si>
  <si>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</si>
  <si>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</si>
  <si>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</si>
  <si>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</si>
  <si>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</si>
  <si>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</si>
  <si>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</si>
  <si>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</si>
  <si>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</si>
  <si>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</si>
  <si>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</si>
  <si>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</si>
  <si>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</si>
  <si>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</si>
  <si>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</si>
  <si>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</si>
  <si>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</si>
  <si>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</si>
  <si>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</si>
  <si>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</si>
  <si>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</si>
  <si>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</si>
  <si>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</si>
  <si>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</si>
  <si>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</si>
  <si>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</si>
  <si>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</si>
  <si>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</si>
  <si>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</si>
  <si>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</si>
  <si>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</si>
  <si>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</si>
  <si>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</si>
  <si>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</si>
  <si>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</si>
  <si>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</si>
  <si>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</si>
  <si>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</si>
  <si>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</si>
  <si>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</si>
  <si>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</si>
  <si>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</si>
  <si>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</si>
  <si>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</si>
  <si>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</si>
  <si>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</si>
  <si>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</si>
  <si>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</si>
  <si>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</si>
  <si>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</si>
  <si>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</si>
  <si>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</si>
  <si>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</si>
  <si>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</si>
  <si>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</si>
  <si>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</si>
  <si>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</si>
  <si>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</si>
  <si>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</si>
  <si>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</si>
  <si>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</si>
  <si>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</si>
  <si>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</si>
  <si>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</si>
  <si>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</si>
  <si>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</si>
  <si>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</si>
  <si>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</si>
  <si>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</si>
  <si>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</si>
  <si>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</si>
  <si>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</si>
  <si>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</si>
  <si>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</si>
  <si>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</si>
  <si>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</si>
  <si>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</si>
  <si>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</si>
  <si>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</si>
  <si>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</si>
  <si>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</si>
  <si>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</si>
  <si>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</si>
  <si>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</si>
  <si>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</si>
  <si>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</si>
  <si>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</si>
  <si>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</si>
  <si>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</si>
  <si>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</si>
  <si>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</si>
  <si>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</si>
  <si>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</si>
  <si>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</si>
  <si>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</si>
  <si>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</si>
  <si>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</si>
  <si>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</si>
  <si>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</si>
  <si>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</si>
  <si>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</si>
  <si>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</si>
  <si>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</si>
  <si>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</si>
  <si>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</si>
  <si>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</si>
  <si>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</si>
  <si>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</si>
  <si>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</si>
  <si>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</si>
  <si>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</si>
  <si>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</si>
  <si>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</si>
  <si>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</si>
  <si>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</si>
  <si>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</si>
  <si>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</si>
  <si>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</si>
  <si>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</si>
  <si>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</si>
  <si>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</si>
  <si>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</si>
  <si>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</si>
  <si>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</si>
  <si>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</si>
  <si>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</si>
  <si>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</si>
  <si>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</si>
  <si>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</si>
  <si>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</si>
  <si>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</si>
  <si>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</si>
  <si>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</si>
  <si>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</si>
  <si>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</si>
  <si>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</si>
  <si>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</si>
  <si>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</si>
  <si>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</si>
  <si>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</si>
  <si>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</si>
  <si>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</si>
  <si>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</si>
  <si>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</si>
  <si>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</si>
  <si>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</si>
  <si>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</si>
  <si>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</si>
  <si>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</si>
  <si>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</si>
  <si>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</si>
  <si>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</si>
  <si>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</si>
  <si>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</si>
  <si>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</si>
  <si>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</si>
  <si>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</si>
  <si>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</si>
  <si>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</si>
  <si>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</si>
  <si>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</si>
  <si>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</si>
  <si>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</si>
  <si>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</si>
  <si>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</si>
  <si>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</si>
  <si>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</si>
  <si>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</si>
  <si>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</si>
  <si>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</si>
  <si>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</si>
  <si>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</si>
  <si>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</si>
  <si>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</si>
  <si>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</si>
  <si>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</si>
  <si>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</si>
  <si>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</si>
  <si>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</si>
  <si>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</si>
  <si>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</si>
  <si>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</si>
  <si>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</si>
  <si>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</si>
  <si>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</si>
  <si>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</si>
  <si>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</si>
  <si>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</si>
  <si>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</si>
  <si>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</si>
  <si>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</si>
  <si>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</si>
  <si>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</si>
  <si>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</si>
  <si>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</si>
  <si>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</si>
  <si>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</si>
  <si>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</si>
  <si>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</si>
  <si>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</si>
  <si>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</si>
  <si>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</si>
  <si>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</si>
  <si>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</si>
  <si>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</si>
  <si>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</si>
  <si>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</si>
  <si>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</si>
  <si>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</si>
  <si>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</si>
  <si>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</si>
  <si>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</si>
  <si>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</si>
  <si>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</si>
  <si>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</si>
  <si>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</si>
  <si>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</si>
  <si>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</si>
  <si>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</si>
  <si>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</si>
  <si>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</si>
  <si>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</si>
  <si>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</si>
  <si>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</si>
  <si>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</si>
  <si>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</si>
  <si>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</si>
  <si>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</si>
  <si>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</si>
  <si>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</si>
  <si>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</si>
  <si>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</si>
  <si>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</si>
  <si>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</si>
  <si>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</si>
  <si>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</si>
  <si>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</si>
  <si>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</si>
  <si>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</si>
  <si>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</si>
  <si>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</si>
  <si>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</si>
  <si>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</si>
  <si>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</si>
  <si>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</si>
  <si>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</si>
  <si>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</si>
  <si>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</si>
  <si>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</si>
  <si>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</si>
  <si>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</si>
  <si>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</si>
  <si>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</si>
  <si>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</si>
  <si>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</si>
  <si>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</si>
  <si>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</si>
  <si>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</si>
  <si>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</si>
  <si>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</si>
  <si>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</si>
  <si>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</si>
  <si>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</si>
  <si>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</si>
  <si>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</si>
  <si>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</si>
  <si>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</si>
  <si>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</si>
  <si>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</si>
  <si>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</si>
  <si>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</si>
  <si>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</si>
  <si>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</si>
  <si>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</si>
  <si>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</si>
  <si>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</si>
  <si>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</si>
  <si>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</si>
  <si>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</si>
  <si>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</si>
  <si>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</si>
  <si>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</si>
  <si>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</si>
  <si>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</si>
  <si>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</si>
  <si>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</si>
  <si>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</si>
  <si>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</si>
  <si>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</si>
  <si>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</si>
  <si>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</si>
  <si>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</si>
  <si>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</si>
  <si>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</si>
  <si>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</si>
  <si>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</si>
  <si>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</si>
  <si>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</si>
  <si>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</si>
  <si>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</si>
  <si>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</si>
  <si>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</si>
  <si>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</si>
  <si>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</si>
  <si>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</si>
  <si>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</si>
  <si>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</si>
  <si>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</si>
  <si>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</si>
  <si>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</si>
  <si>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</si>
  <si>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</si>
  <si>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</si>
  <si>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</si>
  <si>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</si>
  <si>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</si>
  <si>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</si>
  <si>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</si>
  <si>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</si>
  <si>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</si>
  <si>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</si>
  <si>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</si>
  <si>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</si>
  <si>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</si>
  <si>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</si>
  <si>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</si>
  <si>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</si>
  <si>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</si>
  <si>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</si>
  <si>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</si>
  <si>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</si>
  <si>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</si>
  <si>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</si>
  <si>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</si>
  <si>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</si>
  <si>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</si>
  <si>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</si>
  <si>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</si>
  <si>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Deck Eruption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</si>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</sst>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0" fillId="0" borderId="0" xfId="0"/>
    <xf numFmtId="0" fontId="0" fillId="0" borderId="4" xfId="0" applyBorder="1"/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1" fillId="5" borderId="4" xfId="0" applyFont="1" applyFill="1" applyBorder="1" applyAlignment="1">
      <alignment horizontal="center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1" fillId="34" borderId="0" xfId="0" applyFont="1" applyFill="1" applyAlignment="1">
      <alignment horizontal="center" vertical="center" textRotation="90"/>
    </xf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0" borderId="0" xfId="0" applyFont="1" applyAlignment="1">
      <alignment horizontal="center"/>
    </xf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textRotation="90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61"/>
  <sheetViews>
    <sheetView tabSelected="1" zoomScale="85" zoomScaleNormal="85" workbookViewId="0">
      <pane xSplit="6" ySplit="11" topLeftCell="AA37" activePane="bottomRight" state="frozen"/>
      <selection pane="topRight" activeCell="G1" sqref="G1"/>
      <selection pane="bottomLeft" activeCell="A12" sqref="A12"/>
      <selection pane="bottomRight" activeCell="AJ43" sqref="AJ43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82" t="s">
        <v>771</v>
      </c>
      <c r="H1" s="183"/>
      <c r="I1" s="183"/>
      <c r="J1" s="184"/>
      <c r="K1" s="197" t="s">
        <v>770</v>
      </c>
      <c r="L1" s="198"/>
      <c r="M1" s="198"/>
      <c r="N1" s="199"/>
      <c r="O1" s="172" t="s">
        <v>769</v>
      </c>
      <c r="P1" s="173"/>
      <c r="Q1" s="173"/>
      <c r="R1" s="174"/>
      <c r="S1" s="200" t="s">
        <v>768</v>
      </c>
      <c r="T1" s="201"/>
      <c r="U1" s="201"/>
      <c r="V1" s="202"/>
      <c r="W1" s="139" t="s">
        <v>765</v>
      </c>
      <c r="X1" s="140"/>
      <c r="Y1" s="141"/>
      <c r="Z1" s="142"/>
      <c r="AA1" s="131" t="s">
        <v>766</v>
      </c>
      <c r="AB1" s="132"/>
      <c r="AC1" s="133"/>
      <c r="AD1" s="134"/>
      <c r="AE1" s="127" t="s">
        <v>767</v>
      </c>
      <c r="AF1" s="128"/>
      <c r="AG1" s="129"/>
      <c r="AH1" s="130"/>
      <c r="AI1" s="176" t="s">
        <v>858</v>
      </c>
      <c r="AJ1" s="177"/>
      <c r="AK1" s="178"/>
      <c r="AL1" s="179"/>
      <c r="AM1" s="119" t="s">
        <v>859</v>
      </c>
      <c r="AN1" s="120"/>
      <c r="AO1" s="121"/>
      <c r="AP1" s="122"/>
      <c r="AQ1" s="119" t="s">
        <v>860</v>
      </c>
      <c r="AR1" s="120"/>
      <c r="AS1" s="121"/>
      <c r="AT1" s="122"/>
      <c r="AU1" s="119" t="s">
        <v>861</v>
      </c>
      <c r="AV1" s="120"/>
      <c r="AW1" s="121"/>
      <c r="AX1" s="122"/>
      <c r="AY1" s="119" t="s">
        <v>862</v>
      </c>
      <c r="AZ1" s="120"/>
      <c r="BA1" s="121"/>
      <c r="BB1" s="122"/>
      <c r="BC1" s="119" t="s">
        <v>829</v>
      </c>
      <c r="BD1" s="120"/>
      <c r="BE1" s="121"/>
      <c r="BF1" s="122"/>
      <c r="BG1" s="119" t="s">
        <v>830</v>
      </c>
      <c r="BH1" s="120"/>
      <c r="BI1" s="121"/>
      <c r="BJ1" s="122"/>
      <c r="BK1" s="119" t="s">
        <v>831</v>
      </c>
      <c r="BL1" s="120"/>
      <c r="BM1" s="121"/>
      <c r="BN1" s="122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816</v>
      </c>
      <c r="T2" s="109" t="s">
        <v>794</v>
      </c>
      <c r="U2" s="111" t="s">
        <v>4</v>
      </c>
      <c r="V2" s="24" t="s">
        <v>761</v>
      </c>
      <c r="W2" s="39" t="s">
        <v>817</v>
      </c>
      <c r="X2" s="19" t="s">
        <v>807</v>
      </c>
      <c r="Y2" s="92" t="s">
        <v>5</v>
      </c>
      <c r="Z2" s="20" t="s">
        <v>762</v>
      </c>
      <c r="AA2" s="55" t="s">
        <v>818</v>
      </c>
      <c r="AB2" s="101" t="s">
        <v>808</v>
      </c>
      <c r="AC2" s="98" t="s">
        <v>6</v>
      </c>
      <c r="AD2" s="20" t="s">
        <v>763</v>
      </c>
      <c r="AE2" s="73" t="s">
        <v>819</v>
      </c>
      <c r="AF2" s="25" t="s">
        <v>824</v>
      </c>
      <c r="AG2" s="106" t="s">
        <v>7</v>
      </c>
      <c r="AH2" s="27" t="s">
        <v>764</v>
      </c>
      <c r="AI2" s="78" t="s">
        <v>820</v>
      </c>
      <c r="AJ2" s="26" t="s">
        <v>823</v>
      </c>
      <c r="AK2" s="26" t="s">
        <v>772</v>
      </c>
      <c r="AL2" s="79" t="s">
        <v>773</v>
      </c>
      <c r="AM2" s="85" t="s">
        <v>821</v>
      </c>
      <c r="AN2" s="87" t="s">
        <v>822</v>
      </c>
      <c r="AO2" s="87" t="s">
        <v>783</v>
      </c>
      <c r="AP2" s="89" t="s">
        <v>784</v>
      </c>
      <c r="AQ2" s="85" t="s">
        <v>825</v>
      </c>
      <c r="AR2" s="87" t="s">
        <v>826</v>
      </c>
      <c r="AS2" s="87" t="s">
        <v>827</v>
      </c>
      <c r="AT2" s="89" t="s">
        <v>828</v>
      </c>
      <c r="AU2" s="73" t="s">
        <v>832</v>
      </c>
      <c r="AV2" s="25" t="s">
        <v>833</v>
      </c>
      <c r="AW2" s="106" t="s">
        <v>834</v>
      </c>
      <c r="AX2" s="27" t="s">
        <v>835</v>
      </c>
      <c r="AY2" s="78" t="s">
        <v>836</v>
      </c>
      <c r="AZ2" s="26" t="s">
        <v>837</v>
      </c>
      <c r="BA2" s="26" t="s">
        <v>838</v>
      </c>
      <c r="BB2" s="79" t="s">
        <v>839</v>
      </c>
      <c r="BC2" s="85" t="s">
        <v>840</v>
      </c>
      <c r="BD2" s="87" t="s">
        <v>841</v>
      </c>
      <c r="BE2" s="87" t="s">
        <v>842</v>
      </c>
      <c r="BF2" s="89" t="s">
        <v>843</v>
      </c>
      <c r="BG2" s="85" t="s">
        <v>844</v>
      </c>
      <c r="BH2" s="87" t="s">
        <v>845</v>
      </c>
      <c r="BI2" s="87" t="s">
        <v>846</v>
      </c>
      <c r="BJ2" s="89" t="s">
        <v>847</v>
      </c>
      <c r="BK2" s="73" t="s">
        <v>848</v>
      </c>
      <c r="BL2" s="25" t="s">
        <v>849</v>
      </c>
      <c r="BM2" s="106" t="s">
        <v>850</v>
      </c>
      <c r="BN2" s="27" t="s">
        <v>851</v>
      </c>
    </row>
    <row r="3" spans="1:66" ht="16.5" customHeight="1" thickBot="1" x14ac:dyDescent="0.3">
      <c r="B3" s="180" t="s">
        <v>8</v>
      </c>
      <c r="C3" s="12"/>
      <c r="D3" s="159" t="s">
        <v>9</v>
      </c>
      <c r="E3" s="148"/>
      <c r="F3" s="149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25">
      <c r="B4" s="148"/>
      <c r="C4" s="13"/>
      <c r="D4" s="159" t="s">
        <v>10</v>
      </c>
      <c r="E4" s="148"/>
      <c r="F4" s="149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50" t="s">
        <v>11</v>
      </c>
      <c r="C6" s="14"/>
      <c r="D6" s="181" t="s">
        <v>9</v>
      </c>
      <c r="E6" s="148"/>
      <c r="F6" s="149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10</v>
      </c>
      <c r="X6" s="41">
        <f t="shared" si="6"/>
        <v>3</v>
      </c>
      <c r="Y6" s="93">
        <f t="shared" si="6"/>
        <v>7</v>
      </c>
      <c r="Z6" s="53">
        <f t="shared" si="6"/>
        <v>2</v>
      </c>
      <c r="AA6" s="95">
        <f t="shared" si="6"/>
        <v>5</v>
      </c>
      <c r="AB6" s="102">
        <f t="shared" si="6"/>
        <v>4</v>
      </c>
      <c r="AC6" s="99">
        <f t="shared" si="6"/>
        <v>2</v>
      </c>
      <c r="AD6" s="53">
        <f t="shared" si="6"/>
        <v>3</v>
      </c>
      <c r="AE6" s="74">
        <f t="shared" si="6"/>
        <v>4</v>
      </c>
      <c r="AF6" s="75">
        <f t="shared" si="6"/>
        <v>3</v>
      </c>
      <c r="AG6" s="107">
        <f t="shared" si="6"/>
        <v>2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0</v>
      </c>
      <c r="AL6" s="81">
        <f t="shared" si="6"/>
        <v>0</v>
      </c>
      <c r="AM6" s="86">
        <f>COUNTIF(AM60:AM152,"✅")</f>
        <v>2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COUNTIF(BC60:BC142,"✅")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COUNTIF(BG60:BG148,"✅")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25">
      <c r="B7" s="148"/>
      <c r="C7" s="15"/>
      <c r="D7" s="181" t="s">
        <v>10</v>
      </c>
      <c r="E7" s="148"/>
      <c r="F7" s="149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10</v>
      </c>
      <c r="X7" s="41">
        <f t="shared" si="9"/>
        <v>14</v>
      </c>
      <c r="Y7" s="93">
        <f t="shared" si="9"/>
        <v>13</v>
      </c>
      <c r="Z7" s="53">
        <f t="shared" si="9"/>
        <v>9</v>
      </c>
      <c r="AA7" s="95">
        <f t="shared" si="9"/>
        <v>15</v>
      </c>
      <c r="AB7" s="102">
        <f t="shared" si="9"/>
        <v>22</v>
      </c>
      <c r="AC7" s="99">
        <f t="shared" si="9"/>
        <v>14</v>
      </c>
      <c r="AD7" s="53">
        <f t="shared" si="9"/>
        <v>12</v>
      </c>
      <c r="AE7" s="74">
        <f t="shared" si="9"/>
        <v>17</v>
      </c>
      <c r="AF7" s="75">
        <f t="shared" si="9"/>
        <v>25</v>
      </c>
      <c r="AG7" s="107">
        <f t="shared" si="9"/>
        <v>16</v>
      </c>
      <c r="AH7" s="77">
        <f t="shared" si="9"/>
        <v>17</v>
      </c>
      <c r="AI7" s="80">
        <f t="shared" si="9"/>
        <v>18</v>
      </c>
      <c r="AJ7" s="30">
        <f t="shared" si="9"/>
        <v>23</v>
      </c>
      <c r="AK7" s="30">
        <f t="shared" si="9"/>
        <v>15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25">
      <c r="D8" s="147" t="s">
        <v>12</v>
      </c>
      <c r="E8" s="148"/>
      <c r="F8" s="149"/>
      <c r="G8" s="168">
        <f>SUM(G3:J3)</f>
        <v>9</v>
      </c>
      <c r="H8" s="169"/>
      <c r="I8" s="170"/>
      <c r="J8" s="171"/>
      <c r="K8" s="191">
        <f>SUM(K3:N3)</f>
        <v>14</v>
      </c>
      <c r="L8" s="192"/>
      <c r="M8" s="193"/>
      <c r="N8" s="194"/>
      <c r="O8" s="143">
        <f>SUM(O3:R3)</f>
        <v>14</v>
      </c>
      <c r="P8" s="144"/>
      <c r="Q8" s="145"/>
      <c r="R8" s="146"/>
      <c r="S8" s="155">
        <f>SUM(S3:V3)</f>
        <v>9</v>
      </c>
      <c r="T8" s="156"/>
      <c r="U8" s="157"/>
      <c r="V8" s="158"/>
      <c r="W8" s="151">
        <f>SUM(W6:Z6)</f>
        <v>22</v>
      </c>
      <c r="X8" s="152"/>
      <c r="Y8" s="153"/>
      <c r="Z8" s="154"/>
      <c r="AA8" s="164">
        <f>SUM(AA6:AD6)</f>
        <v>14</v>
      </c>
      <c r="AB8" s="165"/>
      <c r="AC8" s="166"/>
      <c r="AD8" s="167"/>
      <c r="AE8" s="123">
        <f>SUM(AE6:AH6)</f>
        <v>12</v>
      </c>
      <c r="AF8" s="124"/>
      <c r="AG8" s="125"/>
      <c r="AH8" s="126"/>
      <c r="AI8" s="186">
        <f>SUM(AI6:AL6)</f>
        <v>7</v>
      </c>
      <c r="AJ8" s="187"/>
      <c r="AK8" s="188"/>
      <c r="AL8" s="189"/>
      <c r="AM8" s="160">
        <f>SUM(AM6:AP6)</f>
        <v>2</v>
      </c>
      <c r="AN8" s="161"/>
      <c r="AO8" s="162"/>
      <c r="AP8" s="163"/>
      <c r="AQ8" s="160">
        <f>SUM(AQ6:AT6)</f>
        <v>0</v>
      </c>
      <c r="AR8" s="161"/>
      <c r="AS8" s="162"/>
      <c r="AT8" s="163"/>
      <c r="AU8" s="123">
        <f>SUM(AU6:AX6)</f>
        <v>0</v>
      </c>
      <c r="AV8" s="124"/>
      <c r="AW8" s="125"/>
      <c r="AX8" s="126"/>
      <c r="AY8" s="186">
        <f>SUM(AY6:BB6)</f>
        <v>0</v>
      </c>
      <c r="AZ8" s="187"/>
      <c r="BA8" s="188"/>
      <c r="BB8" s="189"/>
      <c r="BC8" s="160">
        <f>SUM(BC6:BF6)</f>
        <v>0</v>
      </c>
      <c r="BD8" s="161"/>
      <c r="BE8" s="162"/>
      <c r="BF8" s="163"/>
      <c r="BG8" s="160">
        <f>SUM(BG6:BJ6)</f>
        <v>0</v>
      </c>
      <c r="BH8" s="161"/>
      <c r="BI8" s="162"/>
      <c r="BJ8" s="163"/>
      <c r="BK8" s="123">
        <f>SUM(BK6:BN6)</f>
        <v>0</v>
      </c>
      <c r="BL8" s="124"/>
      <c r="BM8" s="125"/>
      <c r="BN8" s="126"/>
    </row>
    <row r="9" spans="1:66" ht="16.5" customHeight="1" x14ac:dyDescent="0.25">
      <c r="D9" s="190" t="s">
        <v>13</v>
      </c>
      <c r="E9" s="148"/>
      <c r="F9" s="148"/>
      <c r="G9" s="195">
        <f>SUM(G8:V8)</f>
        <v>46</v>
      </c>
      <c r="H9" s="195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35">
        <f>SUM(W8:AL8)</f>
        <v>55</v>
      </c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75"/>
      <c r="AM9" s="135">
        <f>SUM(AM8:BB8)</f>
        <v>2</v>
      </c>
      <c r="AN9" s="136"/>
      <c r="AO9" s="136"/>
      <c r="AP9" s="136"/>
      <c r="AQ9" s="136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136"/>
      <c r="BE9" s="136"/>
      <c r="BF9" s="136"/>
      <c r="BG9" s="136"/>
      <c r="BH9" s="136"/>
      <c r="BI9" s="136"/>
      <c r="BJ9" s="136"/>
      <c r="BK9" s="117"/>
      <c r="BL9" s="117"/>
      <c r="BM9" s="117"/>
      <c r="BN9" s="117"/>
    </row>
    <row r="10" spans="1:66" ht="16.5" customHeight="1" x14ac:dyDescent="0.25">
      <c r="D10" s="190" t="s">
        <v>14</v>
      </c>
      <c r="E10" s="148"/>
      <c r="F10" s="148"/>
      <c r="G10" s="137">
        <f>SUM(G8:BJ8)</f>
        <v>103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18"/>
      <c r="BL10" s="118"/>
      <c r="BM10" s="118"/>
      <c r="BN10" s="118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791</v>
      </c>
      <c r="C12" s="28">
        <v>2</v>
      </c>
      <c r="D12" s="5">
        <f t="shared" ref="D12:D57" si="11">COUNTIF(G12:AAN12,"✅")+COUNTIF(G12:AAN12,"✔️")</f>
        <v>3</v>
      </c>
      <c r="E12" s="2" t="s">
        <v>797</v>
      </c>
      <c r="F12" s="2" t="s">
        <v>798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A14" s="97"/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A15" s="97"/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A16" s="97"/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1:66" ht="16.5" customHeight="1" x14ac:dyDescent="0.25">
      <c r="A17" s="97"/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1:66" ht="16.5" customHeight="1" x14ac:dyDescent="0.25">
      <c r="A18" s="97"/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1:66" ht="16.5" customHeight="1" x14ac:dyDescent="0.25">
      <c r="A19" s="97"/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1:66" ht="16.5" customHeight="1" x14ac:dyDescent="0.25">
      <c r="A20" s="97"/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1:66" ht="16.5" customHeight="1" x14ac:dyDescent="0.25">
      <c r="A21" s="97"/>
      <c r="B21" s="2" t="s">
        <v>792</v>
      </c>
      <c r="C21" s="28">
        <v>4</v>
      </c>
      <c r="D21" s="5">
        <f t="shared" si="11"/>
        <v>1</v>
      </c>
      <c r="E21" s="2" t="s">
        <v>799</v>
      </c>
      <c r="F21" s="2" t="s">
        <v>800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1:66" x14ac:dyDescent="0.25">
      <c r="A22" s="97"/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1:66" x14ac:dyDescent="0.25">
      <c r="A23" s="97"/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1:66" ht="16.5" customHeight="1" x14ac:dyDescent="0.25">
      <c r="A24" s="97"/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1:66" ht="16.5" customHeight="1" x14ac:dyDescent="0.25">
      <c r="A25" s="97"/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1:66" ht="16.5" customHeight="1" x14ac:dyDescent="0.25">
      <c r="A26" s="97"/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1:66" ht="16.5" customHeight="1" x14ac:dyDescent="0.25">
      <c r="A27" s="97"/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1:66" ht="16.5" customHeight="1" x14ac:dyDescent="0.25">
      <c r="A28" s="97"/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1:66" ht="16.5" customHeight="1" x14ac:dyDescent="0.25">
      <c r="A29" s="97"/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1:66" ht="16.5" customHeight="1" x14ac:dyDescent="0.25">
      <c r="A30" s="97"/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1:66" ht="16.5" customHeight="1" x14ac:dyDescent="0.25">
      <c r="A31" s="97"/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1:66" ht="16.5" customHeight="1" x14ac:dyDescent="0.25">
      <c r="A32" s="97"/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1:66" ht="16.5" customHeight="1" x14ac:dyDescent="0.25">
      <c r="A33" s="97"/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1:66" ht="16.5" customHeight="1" x14ac:dyDescent="0.25">
      <c r="A34" s="97"/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1:66" x14ac:dyDescent="0.25">
      <c r="A35" s="97"/>
      <c r="B35" s="2" t="s">
        <v>793</v>
      </c>
      <c r="C35" s="28">
        <v>4</v>
      </c>
      <c r="D35" s="5">
        <f t="shared" si="11"/>
        <v>4</v>
      </c>
      <c r="E35" s="2" t="s">
        <v>801</v>
      </c>
      <c r="F35" s="2" t="s">
        <v>802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1:66" x14ac:dyDescent="0.25">
      <c r="A36" s="97"/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1:66" x14ac:dyDescent="0.25">
      <c r="A37" s="97"/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1:66" ht="16.5" customHeight="1" x14ac:dyDescent="0.25">
      <c r="A38" s="97"/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1:66" x14ac:dyDescent="0.25">
      <c r="A39" s="97"/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1:66" x14ac:dyDescent="0.25">
      <c r="A40" s="97"/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1:66" x14ac:dyDescent="0.25">
      <c r="A41" s="97"/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1:66" x14ac:dyDescent="0.25">
      <c r="A42" s="97"/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1:66" x14ac:dyDescent="0.25">
      <c r="A43" s="97"/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1:66" x14ac:dyDescent="0.25">
      <c r="A44" s="97"/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1:66" x14ac:dyDescent="0.25">
      <c r="A45" s="97"/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1:66" x14ac:dyDescent="0.25">
      <c r="A46" s="97"/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1:66" x14ac:dyDescent="0.25">
      <c r="A47" s="97"/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1:66" x14ac:dyDescent="0.25">
      <c r="A48" s="97"/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25">
      <c r="A49" s="97"/>
      <c r="B49" s="2" t="s">
        <v>795</v>
      </c>
      <c r="C49" s="28">
        <v>4</v>
      </c>
      <c r="D49" s="5">
        <f t="shared" si="11"/>
        <v>1</v>
      </c>
      <c r="E49" s="2" t="s">
        <v>803</v>
      </c>
      <c r="F49" s="2" t="s">
        <v>804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25">
      <c r="A50" s="97"/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25">
      <c r="A51" s="97"/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25">
      <c r="A52" s="97"/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25">
      <c r="A53" s="97"/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25">
      <c r="A54" s="97"/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25">
      <c r="A55" s="97"/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25">
      <c r="A56" s="97"/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25">
      <c r="A57" s="97"/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25">
      <c r="A59" s="114" t="s">
        <v>148</v>
      </c>
      <c r="B59" s="2" t="s">
        <v>796</v>
      </c>
      <c r="C59" s="28">
        <v>4</v>
      </c>
      <c r="D59" s="5">
        <f t="shared" ref="D59:D106" si="12">COUNTIF(G59:AAN59,"✅")+COUNTIF(G59:AAN59,"✔️")</f>
        <v>1</v>
      </c>
      <c r="E59" s="2" t="s">
        <v>805</v>
      </c>
      <c r="F59" s="2" t="s">
        <v>806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25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25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25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25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25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107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25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25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25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25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25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25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25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25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25">
      <c r="A76" s="114"/>
      <c r="B76" s="2" t="s">
        <v>809</v>
      </c>
      <c r="C76" s="28">
        <v>4</v>
      </c>
      <c r="D76" s="5">
        <f t="shared" si="12"/>
        <v>4</v>
      </c>
      <c r="E76" s="2" t="s">
        <v>810</v>
      </c>
      <c r="F76" s="2" t="s">
        <v>811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25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25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25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107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25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25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25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25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25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25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107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25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107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25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25">
      <c r="A88" s="114"/>
      <c r="B88" s="2" t="s">
        <v>814</v>
      </c>
      <c r="C88" s="28">
        <v>4</v>
      </c>
      <c r="D88" s="5">
        <f t="shared" si="12"/>
        <v>4</v>
      </c>
      <c r="E88" s="2" t="s">
        <v>810</v>
      </c>
      <c r="F88" s="2" t="s">
        <v>811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25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25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107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25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25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25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107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25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25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25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25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25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25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25">
      <c r="A100" s="114"/>
      <c r="B100" s="2" t="s">
        <v>815</v>
      </c>
      <c r="C100" s="28">
        <v>4</v>
      </c>
      <c r="D100" s="5">
        <f t="shared" si="12"/>
        <v>4</v>
      </c>
      <c r="E100" s="2" t="s">
        <v>813</v>
      </c>
      <c r="F100" s="2" t="s">
        <v>812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25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25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25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25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107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25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107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25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107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25">
      <c r="A108" s="185" t="s">
        <v>774</v>
      </c>
      <c r="B108" t="s">
        <v>281</v>
      </c>
      <c r="C108" s="11">
        <v>6</v>
      </c>
      <c r="D108" s="1">
        <f t="shared" ref="D108:D144" si="13">COUNTIF(G108:AAN108,"✅")+COUNTIF(G108:AAN108,"✔️")</f>
        <v>9</v>
      </c>
      <c r="E108" t="s">
        <v>282</v>
      </c>
      <c r="F108" t="s">
        <v>283</v>
      </c>
      <c r="W108" s="95" t="s">
        <v>23</v>
      </c>
      <c r="X108" s="102" t="s">
        <v>24</v>
      </c>
      <c r="Y108" s="99" t="s">
        <v>24</v>
      </c>
      <c r="AB108" s="102" t="s">
        <v>24</v>
      </c>
      <c r="AC108" s="107" t="s">
        <v>24</v>
      </c>
      <c r="AE108" s="80" t="s">
        <v>24</v>
      </c>
      <c r="AF108" s="30" t="s">
        <v>24</v>
      </c>
      <c r="AG108"/>
      <c r="AH108" s="52"/>
      <c r="AK108" s="30" t="s">
        <v>24</v>
      </c>
      <c r="AL108" s="81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  <c r="BC108" s="62"/>
      <c r="BD108" s="31"/>
      <c r="BE108" s="31"/>
      <c r="BF108" s="31"/>
      <c r="BG108" s="62"/>
      <c r="BH108" s="31"/>
      <c r="BI108" s="31"/>
      <c r="BJ108" s="31"/>
    </row>
    <row r="109" spans="1:66" x14ac:dyDescent="0.25">
      <c r="A109" s="185"/>
      <c r="B109" t="s">
        <v>284</v>
      </c>
      <c r="C109" s="11">
        <v>6</v>
      </c>
      <c r="D109" s="1">
        <f t="shared" si="13"/>
        <v>9</v>
      </c>
      <c r="E109" t="s">
        <v>285</v>
      </c>
      <c r="F109" t="s">
        <v>286</v>
      </c>
      <c r="Y109" s="99" t="s">
        <v>23</v>
      </c>
      <c r="Z109" s="53" t="s">
        <v>24</v>
      </c>
      <c r="AA109" s="95" t="s">
        <v>24</v>
      </c>
      <c r="AB109" s="102" t="s">
        <v>24</v>
      </c>
      <c r="AE109" s="80" t="s">
        <v>24</v>
      </c>
      <c r="AF109" s="30" t="s">
        <v>24</v>
      </c>
      <c r="AG109"/>
      <c r="AH109" s="52"/>
      <c r="AI109" s="80" t="s">
        <v>24</v>
      </c>
      <c r="AJ109" s="30" t="s">
        <v>24</v>
      </c>
      <c r="AK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  <c r="BC109" s="62"/>
      <c r="BD109" s="31"/>
      <c r="BE109" s="31"/>
      <c r="BF109" s="31"/>
      <c r="BG109" s="62"/>
      <c r="BH109" s="31"/>
      <c r="BI109" s="31"/>
      <c r="BJ109" s="31"/>
    </row>
    <row r="110" spans="1:66" x14ac:dyDescent="0.25">
      <c r="A110" s="185"/>
      <c r="B110" t="s">
        <v>287</v>
      </c>
      <c r="C110" s="11">
        <v>6</v>
      </c>
      <c r="D110" s="1">
        <f t="shared" si="13"/>
        <v>9</v>
      </c>
      <c r="E110" t="s">
        <v>288</v>
      </c>
      <c r="F110" t="s">
        <v>289</v>
      </c>
      <c r="W110" s="95" t="s">
        <v>23</v>
      </c>
      <c r="X110" s="102" t="s">
        <v>24</v>
      </c>
      <c r="Y110" s="99" t="s">
        <v>24</v>
      </c>
      <c r="AC110" s="107" t="s">
        <v>24</v>
      </c>
      <c r="AD110" s="77" t="s">
        <v>24</v>
      </c>
      <c r="AE110" s="80" t="s">
        <v>24</v>
      </c>
      <c r="AF110" s="30" t="s">
        <v>24</v>
      </c>
      <c r="AG110"/>
      <c r="AH110" s="52"/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  <c r="BC110" s="62"/>
      <c r="BD110" s="31"/>
      <c r="BE110" s="31"/>
      <c r="BF110" s="31"/>
      <c r="BG110" s="62"/>
      <c r="BH110" s="31"/>
      <c r="BI110" s="31"/>
      <c r="BJ110" s="31"/>
    </row>
    <row r="111" spans="1:66" x14ac:dyDescent="0.25">
      <c r="A111" s="185"/>
      <c r="B111" t="s">
        <v>290</v>
      </c>
      <c r="C111" s="11">
        <v>6</v>
      </c>
      <c r="D111" s="1">
        <f t="shared" si="13"/>
        <v>9</v>
      </c>
      <c r="E111" t="s">
        <v>291</v>
      </c>
      <c r="F111" t="s">
        <v>292</v>
      </c>
      <c r="AA111" s="76" t="s">
        <v>23</v>
      </c>
      <c r="AB111" s="75" t="s">
        <v>24</v>
      </c>
      <c r="AC111" s="30" t="s">
        <v>24</v>
      </c>
      <c r="AE111" s="80" t="s">
        <v>24</v>
      </c>
      <c r="AF111" s="30" t="s">
        <v>24</v>
      </c>
      <c r="AG111" s="30" t="s">
        <v>24</v>
      </c>
      <c r="AH111" s="52"/>
      <c r="AI111" s="80" t="s">
        <v>24</v>
      </c>
      <c r="AJ111" s="30" t="s">
        <v>24</v>
      </c>
      <c r="AK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85"/>
      <c r="B112" t="s">
        <v>293</v>
      </c>
      <c r="C112" s="11">
        <v>6</v>
      </c>
      <c r="D112" s="1">
        <f t="shared" si="13"/>
        <v>9</v>
      </c>
      <c r="E112" t="s">
        <v>294</v>
      </c>
      <c r="F112" t="s">
        <v>295</v>
      </c>
      <c r="X112" s="102" t="s">
        <v>24</v>
      </c>
      <c r="Y112" s="99" t="s">
        <v>23</v>
      </c>
      <c r="Z112" s="53" t="s">
        <v>24</v>
      </c>
      <c r="AD112" s="81" t="s">
        <v>24</v>
      </c>
      <c r="AE112" s="51"/>
      <c r="AF112" s="30" t="s">
        <v>24</v>
      </c>
      <c r="AG112" s="30" t="s">
        <v>24</v>
      </c>
      <c r="AH112" s="81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85"/>
      <c r="B113" t="s">
        <v>296</v>
      </c>
      <c r="C113" s="11">
        <v>6</v>
      </c>
      <c r="D113" s="1">
        <f t="shared" si="13"/>
        <v>9</v>
      </c>
      <c r="E113" t="s">
        <v>297</v>
      </c>
      <c r="F113" t="s">
        <v>298</v>
      </c>
      <c r="AB113" s="30" t="s">
        <v>23</v>
      </c>
      <c r="AC113" s="30" t="s">
        <v>24</v>
      </c>
      <c r="AD113" s="81" t="s">
        <v>24</v>
      </c>
      <c r="AE113" s="51"/>
      <c r="AF113" s="30" t="s">
        <v>24</v>
      </c>
      <c r="AG113" s="30" t="s">
        <v>24</v>
      </c>
      <c r="AH113" s="81" t="s">
        <v>24</v>
      </c>
      <c r="AJ113" s="30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85"/>
      <c r="B114" t="s">
        <v>299</v>
      </c>
      <c r="C114" s="11">
        <v>6</v>
      </c>
      <c r="D114" s="1">
        <f t="shared" si="13"/>
        <v>9</v>
      </c>
      <c r="E114" t="s">
        <v>300</v>
      </c>
      <c r="F114" t="s">
        <v>301</v>
      </c>
      <c r="W114" s="95" t="s">
        <v>23</v>
      </c>
      <c r="X114" s="102" t="s">
        <v>24</v>
      </c>
      <c r="AB114" s="75" t="s">
        <v>24</v>
      </c>
      <c r="AC114" s="30" t="s">
        <v>24</v>
      </c>
      <c r="AE114" s="51"/>
      <c r="AF114" s="30" t="s">
        <v>24</v>
      </c>
      <c r="AG114" s="30" t="s">
        <v>24</v>
      </c>
      <c r="AH114" s="81" t="s">
        <v>24</v>
      </c>
      <c r="AI114" s="80" t="s">
        <v>24</v>
      </c>
      <c r="AJ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85"/>
      <c r="B115" t="s">
        <v>302</v>
      </c>
      <c r="C115" s="11">
        <v>6</v>
      </c>
      <c r="D115" s="1">
        <f t="shared" si="13"/>
        <v>9</v>
      </c>
      <c r="E115" t="s">
        <v>303</v>
      </c>
      <c r="F115" t="s">
        <v>304</v>
      </c>
      <c r="Y115" s="99" t="s">
        <v>23</v>
      </c>
      <c r="Z115" s="53" t="s">
        <v>24</v>
      </c>
      <c r="AD115" s="81" t="s">
        <v>24</v>
      </c>
      <c r="AE115" s="51"/>
      <c r="AF115"/>
      <c r="AG115" s="30" t="s">
        <v>24</v>
      </c>
      <c r="AH115" s="81" t="s">
        <v>24</v>
      </c>
      <c r="AI115" s="80" t="s">
        <v>24</v>
      </c>
      <c r="AJ115" s="30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25">
      <c r="A117" s="203" t="s">
        <v>280</v>
      </c>
      <c r="B117" t="s">
        <v>852</v>
      </c>
      <c r="C117" s="11">
        <v>2</v>
      </c>
      <c r="D117" s="1">
        <f t="shared" si="13"/>
        <v>7</v>
      </c>
      <c r="E117" t="s">
        <v>853</v>
      </c>
      <c r="AM117" s="80" t="s">
        <v>23</v>
      </c>
      <c r="AN117" s="30" t="s">
        <v>24</v>
      </c>
      <c r="AO117" s="30" t="s">
        <v>24</v>
      </c>
      <c r="AP117" s="52"/>
      <c r="AQ117" s="76" t="s">
        <v>24</v>
      </c>
      <c r="AR117" s="75" t="s">
        <v>24</v>
      </c>
      <c r="AS117" s="31"/>
      <c r="AT117" s="31"/>
      <c r="AV117" s="30" t="s">
        <v>24</v>
      </c>
      <c r="AW117" s="107" t="s">
        <v>24</v>
      </c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203"/>
      <c r="B118" t="s">
        <v>854</v>
      </c>
      <c r="C118" s="11">
        <v>2</v>
      </c>
      <c r="D118" s="1">
        <f t="shared" si="13"/>
        <v>7</v>
      </c>
      <c r="E118" t="s">
        <v>855</v>
      </c>
      <c r="AM118" s="80" t="s">
        <v>23</v>
      </c>
      <c r="AN118" s="30" t="s">
        <v>24</v>
      </c>
      <c r="AO118" s="30" t="s">
        <v>24</v>
      </c>
      <c r="AP118" s="52"/>
      <c r="AQ118" s="76" t="s">
        <v>24</v>
      </c>
      <c r="AR118" s="75" t="s">
        <v>24</v>
      </c>
      <c r="AS118" s="31"/>
      <c r="AT118" s="31"/>
      <c r="AV118" s="30" t="s">
        <v>24</v>
      </c>
      <c r="AW118" s="107" t="s">
        <v>24</v>
      </c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x14ac:dyDescent="0.25">
      <c r="A119" s="203"/>
      <c r="B119" t="s">
        <v>856</v>
      </c>
      <c r="C119" s="11">
        <v>4</v>
      </c>
      <c r="D119" s="1">
        <f t="shared" si="13"/>
        <v>8</v>
      </c>
      <c r="E119" t="s">
        <v>857</v>
      </c>
      <c r="AM119" s="51"/>
      <c r="AO119" s="30" t="s">
        <v>24</v>
      </c>
      <c r="AP119" s="81" t="s">
        <v>24</v>
      </c>
      <c r="AQ119" s="62"/>
      <c r="AR119" s="75" t="s">
        <v>24</v>
      </c>
      <c r="AS119" s="107" t="s">
        <v>24</v>
      </c>
      <c r="AT119" s="77" t="s">
        <v>24</v>
      </c>
      <c r="AU119" s="80" t="s">
        <v>24</v>
      </c>
      <c r="AV119" s="30" t="s">
        <v>24</v>
      </c>
      <c r="AW119" s="107" t="s">
        <v>24</v>
      </c>
      <c r="AY119" s="62"/>
      <c r="AZ119" s="31"/>
      <c r="BA119" s="31"/>
      <c r="BB119" s="31"/>
      <c r="BC119" s="62"/>
      <c r="BD119" s="31"/>
      <c r="BE119" s="31"/>
      <c r="BF119" s="31"/>
      <c r="BG119" s="62"/>
      <c r="BH119" s="31"/>
      <c r="BI119" s="31"/>
      <c r="BJ119" s="31"/>
    </row>
    <row r="120" spans="1:66" x14ac:dyDescent="0.25">
      <c r="A120" s="203"/>
      <c r="D120" s="1">
        <f t="shared" si="13"/>
        <v>0</v>
      </c>
      <c r="AM120" s="51"/>
      <c r="AP120" s="52"/>
      <c r="AQ120" s="51"/>
      <c r="AT120" s="52"/>
      <c r="AU120" s="51"/>
      <c r="AV120"/>
      <c r="AW120"/>
      <c r="AX120" s="52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203"/>
      <c r="D121" s="1">
        <f t="shared" si="13"/>
        <v>0</v>
      </c>
      <c r="AM121" s="51"/>
      <c r="AP121" s="52"/>
      <c r="AQ121" s="51"/>
      <c r="AT121" s="52"/>
      <c r="AU121" s="51"/>
      <c r="AV121"/>
      <c r="AW121"/>
      <c r="AX121" s="52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203"/>
      <c r="D122" s="1">
        <f t="shared" si="13"/>
        <v>0</v>
      </c>
      <c r="AM122" s="51"/>
      <c r="AP122" s="52"/>
      <c r="AQ122" s="51"/>
      <c r="AT122" s="52"/>
      <c r="AU122" s="51"/>
      <c r="AV122"/>
      <c r="AW122"/>
      <c r="AX122" s="52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203"/>
      <c r="D123" s="1">
        <f t="shared" si="13"/>
        <v>0</v>
      </c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x14ac:dyDescent="0.25">
      <c r="A124" s="203"/>
      <c r="D124" s="1">
        <f t="shared" si="13"/>
        <v>0</v>
      </c>
      <c r="AM124" s="51"/>
      <c r="AP124" s="52"/>
      <c r="AQ124" s="51"/>
      <c r="AT124" s="52"/>
      <c r="AU124" s="51"/>
      <c r="AV124"/>
      <c r="AW124"/>
      <c r="AX124" s="52"/>
      <c r="BC124" s="62"/>
      <c r="BD124" s="31"/>
      <c r="BE124" s="31"/>
      <c r="BF124" s="31"/>
      <c r="BG124" s="62"/>
      <c r="BH124" s="31"/>
      <c r="BI124" s="31"/>
      <c r="BJ124" s="31"/>
    </row>
    <row r="125" spans="1:66" x14ac:dyDescent="0.25">
      <c r="A125" s="203"/>
      <c r="D125" s="1">
        <f t="shared" si="13"/>
        <v>0</v>
      </c>
      <c r="AM125" s="51"/>
      <c r="AP125" s="52"/>
      <c r="AQ125" s="51"/>
      <c r="AT125" s="52"/>
      <c r="AU125" s="51"/>
      <c r="AV125"/>
      <c r="AW125"/>
      <c r="AX125" s="52"/>
      <c r="BC125" s="62"/>
      <c r="BD125" s="31"/>
      <c r="BE125" s="31"/>
      <c r="BF125" s="31"/>
      <c r="BG125" s="62"/>
      <c r="BH125" s="31"/>
      <c r="BI125" s="31"/>
      <c r="BJ125" s="31"/>
    </row>
    <row r="126" spans="1:66" x14ac:dyDescent="0.25">
      <c r="A126" s="203"/>
      <c r="D126" s="1">
        <f t="shared" si="13"/>
        <v>0</v>
      </c>
      <c r="AM126" s="51"/>
      <c r="AP126" s="52"/>
      <c r="AQ126" s="51"/>
      <c r="AT126" s="52"/>
      <c r="AU126" s="51"/>
      <c r="AV126"/>
      <c r="AW126"/>
      <c r="AX126" s="52"/>
      <c r="BC126" s="62"/>
      <c r="BD126" s="31"/>
      <c r="BE126" s="31"/>
      <c r="BF126" s="31"/>
      <c r="BG126" s="62"/>
      <c r="BH126" s="31"/>
      <c r="BI126" s="31"/>
      <c r="BJ126" s="31"/>
    </row>
    <row r="127" spans="1:66" x14ac:dyDescent="0.25">
      <c r="A127" s="203"/>
      <c r="D127" s="1">
        <f t="shared" si="13"/>
        <v>0</v>
      </c>
      <c r="AM127" s="51"/>
      <c r="AP127" s="52"/>
      <c r="AQ127" s="51"/>
      <c r="AT127" s="52"/>
      <c r="AU127" s="51"/>
      <c r="AV127"/>
      <c r="AW127"/>
      <c r="AX127" s="52"/>
      <c r="BC127" s="62"/>
      <c r="BD127" s="31"/>
      <c r="BE127" s="31"/>
      <c r="BF127" s="31"/>
      <c r="BG127" s="62"/>
      <c r="BH127" s="31"/>
      <c r="BI127" s="31"/>
      <c r="BJ127" s="31"/>
    </row>
    <row r="128" spans="1:66" x14ac:dyDescent="0.25">
      <c r="A128" s="203"/>
      <c r="D128" s="1">
        <f t="shared" si="13"/>
        <v>0</v>
      </c>
      <c r="AM128" s="51"/>
      <c r="AP128" s="52"/>
      <c r="AQ128" s="51"/>
      <c r="AT128" s="52"/>
      <c r="AU128" s="51"/>
      <c r="AV128"/>
      <c r="AW128"/>
      <c r="AX128" s="52"/>
      <c r="BC128" s="62"/>
      <c r="BD128" s="31"/>
      <c r="BE128" s="31"/>
      <c r="BF128" s="31"/>
      <c r="BG128" s="62"/>
      <c r="BH128" s="31"/>
      <c r="BI128" s="31"/>
      <c r="BJ128" s="31"/>
    </row>
    <row r="129" spans="1:62" x14ac:dyDescent="0.25">
      <c r="A129" s="203"/>
      <c r="D129" s="1">
        <f t="shared" si="13"/>
        <v>0</v>
      </c>
      <c r="AM129" s="51"/>
      <c r="AP129" s="52"/>
      <c r="AQ129" s="51"/>
      <c r="AT129" s="52"/>
      <c r="AU129" s="51"/>
      <c r="AV129"/>
      <c r="AW129"/>
      <c r="AX129" s="52"/>
      <c r="BC129" s="62"/>
      <c r="BD129" s="31"/>
      <c r="BE129" s="31"/>
      <c r="BF129" s="31"/>
      <c r="BG129" s="62"/>
      <c r="BH129" s="31"/>
      <c r="BI129" s="31"/>
      <c r="BJ129" s="31"/>
    </row>
    <row r="130" spans="1:62" x14ac:dyDescent="0.25">
      <c r="A130" s="203"/>
      <c r="D130" s="1">
        <f t="shared" si="13"/>
        <v>0</v>
      </c>
      <c r="AM130" s="51"/>
      <c r="AP130" s="52"/>
      <c r="AQ130" s="51"/>
      <c r="AT130" s="52"/>
      <c r="AU130" s="51"/>
      <c r="AV130"/>
      <c r="AW130"/>
      <c r="AX130" s="52"/>
      <c r="BC130" s="62"/>
      <c r="BD130" s="31"/>
      <c r="BE130" s="31"/>
      <c r="BF130" s="31"/>
      <c r="BG130" s="62"/>
      <c r="BH130" s="31"/>
      <c r="BI130" s="31"/>
      <c r="BJ130" s="31"/>
    </row>
    <row r="131" spans="1:62" x14ac:dyDescent="0.25">
      <c r="A131" s="203"/>
      <c r="D131" s="1">
        <f t="shared" si="13"/>
        <v>0</v>
      </c>
      <c r="AM131" s="51"/>
      <c r="AP131" s="52"/>
      <c r="AQ131" s="51"/>
      <c r="AT131" s="52"/>
      <c r="AU131" s="51"/>
      <c r="AV131"/>
      <c r="AW131"/>
      <c r="AX131" s="52"/>
      <c r="BC131" s="62"/>
      <c r="BD131" s="31"/>
      <c r="BE131" s="31"/>
      <c r="BF131" s="31"/>
      <c r="BG131" s="62"/>
      <c r="BH131" s="31"/>
      <c r="BI131" s="31"/>
      <c r="BJ131" s="31"/>
    </row>
    <row r="132" spans="1:62" x14ac:dyDescent="0.25">
      <c r="A132" s="203"/>
      <c r="D132" s="1">
        <f t="shared" si="13"/>
        <v>0</v>
      </c>
      <c r="AM132" s="51"/>
      <c r="AP132" s="52"/>
      <c r="AQ132" s="51"/>
      <c r="AT132" s="52"/>
      <c r="AU132" s="51"/>
      <c r="AV132"/>
      <c r="AW132"/>
      <c r="AX132" s="52"/>
      <c r="BC132" s="62"/>
      <c r="BD132" s="31"/>
      <c r="BE132" s="31"/>
      <c r="BF132" s="31"/>
      <c r="BG132" s="62"/>
      <c r="BH132" s="31"/>
      <c r="BI132" s="31"/>
      <c r="BJ132" s="31"/>
    </row>
    <row r="133" spans="1:62" x14ac:dyDescent="0.25">
      <c r="A133" s="203"/>
      <c r="D133" s="1">
        <f t="shared" si="13"/>
        <v>0</v>
      </c>
      <c r="AM133" s="51"/>
      <c r="AP133" s="52"/>
      <c r="AQ133" s="51"/>
      <c r="AT133" s="52"/>
      <c r="AU133" s="51"/>
      <c r="AV133"/>
      <c r="AW133"/>
      <c r="AX133" s="52"/>
      <c r="BC133" s="62"/>
      <c r="BD133" s="31"/>
      <c r="BE133" s="31"/>
      <c r="BF133" s="31"/>
      <c r="BG133" s="62"/>
      <c r="BH133" s="31"/>
      <c r="BI133" s="31"/>
      <c r="BJ133" s="31"/>
    </row>
    <row r="134" spans="1:62" x14ac:dyDescent="0.25">
      <c r="A134" s="203"/>
      <c r="D134" s="1">
        <f t="shared" si="13"/>
        <v>0</v>
      </c>
      <c r="AM134" s="51"/>
      <c r="AP134" s="52"/>
      <c r="AQ134" s="51"/>
      <c r="AT134" s="52"/>
      <c r="AU134" s="51"/>
      <c r="AV134"/>
      <c r="AW134"/>
      <c r="AX134" s="52"/>
      <c r="BC134" s="62"/>
      <c r="BD134" s="31"/>
      <c r="BE134" s="31"/>
      <c r="BF134" s="31"/>
      <c r="BG134" s="62"/>
      <c r="BH134" s="31"/>
      <c r="BI134" s="31"/>
      <c r="BJ134" s="31"/>
    </row>
    <row r="135" spans="1:62" x14ac:dyDescent="0.25">
      <c r="A135" s="203"/>
      <c r="D135" s="1">
        <f t="shared" si="13"/>
        <v>0</v>
      </c>
      <c r="AM135" s="51"/>
      <c r="AP135" s="52"/>
      <c r="AQ135" s="51"/>
      <c r="AT135" s="52"/>
      <c r="AU135" s="51"/>
      <c r="AV135"/>
      <c r="AW135"/>
      <c r="AX135" s="52"/>
      <c r="BC135" s="62"/>
      <c r="BD135" s="31"/>
      <c r="BE135" s="31"/>
      <c r="BF135" s="31"/>
      <c r="BG135" s="62"/>
      <c r="BH135" s="31"/>
      <c r="BI135" s="31"/>
      <c r="BJ135" s="31"/>
    </row>
    <row r="136" spans="1:62" x14ac:dyDescent="0.25">
      <c r="A136" s="203"/>
      <c r="D136" s="1">
        <f t="shared" si="13"/>
        <v>0</v>
      </c>
      <c r="AM136" s="51"/>
      <c r="AP136" s="52"/>
      <c r="AQ136" s="51"/>
      <c r="AT136" s="52"/>
      <c r="AU136" s="51"/>
      <c r="AV136"/>
      <c r="AW136"/>
      <c r="AX136" s="52"/>
      <c r="BC136" s="62"/>
      <c r="BD136" s="31"/>
      <c r="BE136" s="31"/>
      <c r="BF136" s="31"/>
      <c r="BG136" s="62"/>
      <c r="BH136" s="31"/>
      <c r="BI136" s="31"/>
      <c r="BJ136" s="31"/>
    </row>
    <row r="137" spans="1:62" x14ac:dyDescent="0.25">
      <c r="A137" s="203"/>
      <c r="D137" s="1">
        <f t="shared" si="13"/>
        <v>0</v>
      </c>
      <c r="AM137" s="51"/>
      <c r="AP137" s="52"/>
      <c r="AQ137" s="51"/>
      <c r="AT137" s="52"/>
      <c r="AU137" s="51"/>
      <c r="AV137"/>
      <c r="AW137"/>
      <c r="AX137" s="52"/>
      <c r="BC137" s="62"/>
      <c r="BD137" s="31"/>
      <c r="BE137" s="31"/>
      <c r="BF137" s="31"/>
      <c r="BG137" s="62"/>
      <c r="BH137" s="31"/>
      <c r="BI137" s="31"/>
      <c r="BJ137" s="31"/>
    </row>
    <row r="138" spans="1:62" x14ac:dyDescent="0.25">
      <c r="A138" s="203"/>
      <c r="D138" s="1">
        <f t="shared" si="13"/>
        <v>0</v>
      </c>
      <c r="AM138" s="51"/>
      <c r="AP138" s="52"/>
      <c r="AQ138" s="51"/>
      <c r="AT138" s="52"/>
      <c r="AU138" s="51"/>
      <c r="AV138"/>
      <c r="AW138"/>
      <c r="AX138" s="52"/>
      <c r="BC138" s="62"/>
      <c r="BD138" s="31"/>
      <c r="BE138" s="31"/>
      <c r="BF138" s="31"/>
      <c r="BG138" s="62"/>
      <c r="BH138" s="31"/>
      <c r="BI138" s="31"/>
      <c r="BJ138" s="31"/>
    </row>
    <row r="139" spans="1:62" x14ac:dyDescent="0.25">
      <c r="A139" s="203"/>
      <c r="D139" s="1">
        <f t="shared" si="13"/>
        <v>0</v>
      </c>
      <c r="AM139" s="51"/>
      <c r="AP139" s="52"/>
      <c r="AQ139" s="51"/>
      <c r="AT139" s="52"/>
      <c r="AU139" s="51"/>
      <c r="AV139"/>
      <c r="AW139"/>
      <c r="AX139" s="52"/>
      <c r="BC139" s="62"/>
      <c r="BD139" s="31"/>
      <c r="BE139" s="31"/>
      <c r="BF139" s="31"/>
      <c r="BG139" s="62"/>
      <c r="BH139" s="31"/>
      <c r="BI139" s="31"/>
      <c r="BJ139" s="31"/>
    </row>
    <row r="140" spans="1:62" x14ac:dyDescent="0.25">
      <c r="A140" s="203"/>
      <c r="D140" s="1">
        <f t="shared" si="13"/>
        <v>0</v>
      </c>
      <c r="AM140" s="51"/>
      <c r="AP140" s="52"/>
      <c r="AQ140" s="51"/>
      <c r="AT140" s="52"/>
      <c r="AU140" s="51"/>
      <c r="AV140"/>
      <c r="AW140"/>
      <c r="AX140" s="52"/>
      <c r="BC140" s="62"/>
      <c r="BD140" s="31"/>
      <c r="BE140" s="31"/>
      <c r="BF140" s="31"/>
      <c r="BG140" s="62"/>
      <c r="BH140" s="31"/>
      <c r="BI140" s="31"/>
      <c r="BJ140" s="31"/>
    </row>
    <row r="141" spans="1:62" x14ac:dyDescent="0.25">
      <c r="A141" s="203"/>
      <c r="D141" s="1">
        <f t="shared" si="13"/>
        <v>0</v>
      </c>
      <c r="AM141" s="51"/>
      <c r="AP141" s="52"/>
      <c r="AQ141" s="51"/>
      <c r="AT141" s="52"/>
      <c r="AU141" s="51"/>
      <c r="AV141"/>
      <c r="AW141"/>
      <c r="AX141" s="52"/>
      <c r="BC141" s="62"/>
      <c r="BD141" s="31"/>
      <c r="BE141" s="31"/>
      <c r="BF141" s="31"/>
      <c r="BG141" s="62"/>
      <c r="BH141" s="31"/>
      <c r="BI141" s="31"/>
      <c r="BJ141" s="31"/>
    </row>
    <row r="142" spans="1:62" x14ac:dyDescent="0.25">
      <c r="A142" s="203"/>
      <c r="D142" s="1">
        <f t="shared" si="13"/>
        <v>0</v>
      </c>
      <c r="AM142" s="51"/>
      <c r="AP142" s="52"/>
      <c r="AQ142" s="51"/>
      <c r="AT142" s="52"/>
      <c r="AU142" s="51"/>
      <c r="AV142"/>
      <c r="AW142"/>
      <c r="AX142" s="52"/>
      <c r="BC142" s="62"/>
      <c r="BD142" s="31"/>
      <c r="BE142" s="31"/>
      <c r="BF142" s="31"/>
      <c r="BG142" s="62"/>
      <c r="BH142" s="31"/>
      <c r="BI142" s="31"/>
      <c r="BJ142" s="31"/>
    </row>
    <row r="143" spans="1:62" x14ac:dyDescent="0.25">
      <c r="A143" s="203"/>
      <c r="D143" s="1">
        <f t="shared" si="13"/>
        <v>0</v>
      </c>
      <c r="AM143" s="51"/>
      <c r="AP143" s="52"/>
      <c r="AQ143" s="51"/>
      <c r="AT143" s="52"/>
      <c r="AU143" s="51"/>
      <c r="AV143"/>
      <c r="AW143"/>
      <c r="AX143" s="52"/>
      <c r="BC143" s="62"/>
      <c r="BD143" s="31"/>
      <c r="BE143" s="31"/>
      <c r="BF143" s="31"/>
      <c r="BG143" s="62"/>
      <c r="BH143" s="31"/>
      <c r="BI143" s="31"/>
      <c r="BJ143" s="31"/>
    </row>
    <row r="144" spans="1:62" x14ac:dyDescent="0.25">
      <c r="A144" s="203"/>
      <c r="D144" s="1">
        <f t="shared" si="13"/>
        <v>0</v>
      </c>
      <c r="AM144" s="51"/>
      <c r="AP144" s="52"/>
      <c r="AQ144" s="51"/>
      <c r="AT144" s="52"/>
      <c r="AU144" s="51"/>
      <c r="AV144"/>
      <c r="AW144"/>
      <c r="AX144" s="52"/>
      <c r="BC144" s="62"/>
      <c r="BD144" s="31"/>
      <c r="BE144" s="31"/>
      <c r="BF144" s="31"/>
      <c r="BG144" s="62"/>
      <c r="BH144" s="31"/>
      <c r="BI144" s="31"/>
      <c r="BJ144" s="31"/>
    </row>
    <row r="145" spans="1:66" ht="14.45" customHeight="1" x14ac:dyDescent="0.25">
      <c r="A145" s="203"/>
      <c r="B145" t="s">
        <v>775</v>
      </c>
      <c r="D145" s="1">
        <f>COUNTIF(G145:AAN145,"✅")+COUNTIF(G145:AAN145,"✔️")</f>
        <v>9</v>
      </c>
      <c r="E145" t="s">
        <v>306</v>
      </c>
      <c r="F145" t="s">
        <v>307</v>
      </c>
      <c r="AM145" s="51"/>
      <c r="AP145" s="52"/>
      <c r="AQ145" s="51"/>
      <c r="AT145" s="52"/>
      <c r="AU145" s="51"/>
      <c r="AV145"/>
      <c r="AW145"/>
      <c r="AX145" s="52"/>
      <c r="BC145" s="30" t="s">
        <v>23</v>
      </c>
      <c r="BD145" s="30" t="s">
        <v>24</v>
      </c>
      <c r="BE145" s="30" t="s">
        <v>24</v>
      </c>
      <c r="BG145" s="80" t="s">
        <v>24</v>
      </c>
      <c r="BH145" s="30" t="s">
        <v>24</v>
      </c>
      <c r="BI145" s="30" t="s">
        <v>24</v>
      </c>
      <c r="BK145" s="76" t="s">
        <v>24</v>
      </c>
      <c r="BL145" s="30" t="s">
        <v>24</v>
      </c>
      <c r="BM145" s="30" t="s">
        <v>24</v>
      </c>
    </row>
    <row r="146" spans="1:66" x14ac:dyDescent="0.25">
      <c r="A146" s="203"/>
      <c r="B146" t="s">
        <v>776</v>
      </c>
      <c r="D146" s="1">
        <f t="shared" ref="D146:D161" si="14">COUNTIF(G146:AAN146,"✅")+COUNTIF(G146:AAN146,"✔️")</f>
        <v>9</v>
      </c>
      <c r="E146" t="s">
        <v>309</v>
      </c>
      <c r="F146" t="s">
        <v>310</v>
      </c>
      <c r="AM146" s="51"/>
      <c r="AP146" s="52"/>
      <c r="AQ146" s="51"/>
      <c r="AT146" s="52"/>
      <c r="AU146" s="51"/>
      <c r="AV146"/>
      <c r="AW146"/>
      <c r="AX146" s="52"/>
      <c r="BC146" s="30" t="s">
        <v>23</v>
      </c>
      <c r="BD146" s="30" t="s">
        <v>24</v>
      </c>
      <c r="BE146" s="30" t="s">
        <v>24</v>
      </c>
      <c r="BG146" s="80" t="s">
        <v>24</v>
      </c>
      <c r="BH146" s="30" t="s">
        <v>24</v>
      </c>
      <c r="BI146" s="30" t="s">
        <v>24</v>
      </c>
      <c r="BK146" s="76" t="s">
        <v>24</v>
      </c>
      <c r="BL146" s="30" t="s">
        <v>24</v>
      </c>
      <c r="BM146" s="30" t="s">
        <v>24</v>
      </c>
    </row>
    <row r="147" spans="1:66" x14ac:dyDescent="0.25">
      <c r="A147" s="203"/>
      <c r="B147" t="s">
        <v>777</v>
      </c>
      <c r="D147" s="1">
        <f t="shared" si="14"/>
        <v>9</v>
      </c>
      <c r="E147" t="s">
        <v>312</v>
      </c>
      <c r="F147" t="s">
        <v>313</v>
      </c>
      <c r="AM147" s="51"/>
      <c r="AP147" s="52"/>
      <c r="AQ147" s="51"/>
      <c r="AT147" s="52"/>
      <c r="AU147" s="51"/>
      <c r="AV147"/>
      <c r="AW147"/>
      <c r="AX147" s="52"/>
      <c r="BC147" s="30" t="s">
        <v>23</v>
      </c>
      <c r="BD147" s="30" t="s">
        <v>24</v>
      </c>
      <c r="BE147" s="30" t="s">
        <v>24</v>
      </c>
      <c r="BG147" s="80" t="s">
        <v>24</v>
      </c>
      <c r="BH147" s="30" t="s">
        <v>24</v>
      </c>
      <c r="BI147" s="30" t="s">
        <v>24</v>
      </c>
      <c r="BK147" s="76" t="s">
        <v>24</v>
      </c>
      <c r="BL147" s="30" t="s">
        <v>24</v>
      </c>
      <c r="BM147" s="30" t="s">
        <v>24</v>
      </c>
    </row>
    <row r="148" spans="1:66" x14ac:dyDescent="0.25">
      <c r="A148" s="203"/>
      <c r="B148" t="s">
        <v>778</v>
      </c>
      <c r="D148" s="1">
        <f t="shared" si="14"/>
        <v>9</v>
      </c>
      <c r="E148" t="s">
        <v>315</v>
      </c>
      <c r="F148" t="s">
        <v>316</v>
      </c>
      <c r="AM148" s="51"/>
      <c r="AP148" s="52"/>
      <c r="AQ148" s="51"/>
      <c r="AT148" s="52"/>
      <c r="AU148" s="51"/>
      <c r="AV148"/>
      <c r="AW148"/>
      <c r="AX148" s="52"/>
      <c r="BC148" s="30" t="s">
        <v>23</v>
      </c>
      <c r="BD148" s="30" t="s">
        <v>24</v>
      </c>
      <c r="BE148" s="30" t="s">
        <v>24</v>
      </c>
      <c r="BG148" s="80" t="s">
        <v>24</v>
      </c>
      <c r="BH148" s="30" t="s">
        <v>24</v>
      </c>
      <c r="BI148" s="30" t="s">
        <v>24</v>
      </c>
      <c r="BK148" s="76" t="s">
        <v>24</v>
      </c>
      <c r="BL148" s="30" t="s">
        <v>24</v>
      </c>
      <c r="BM148" s="30" t="s">
        <v>24</v>
      </c>
    </row>
    <row r="149" spans="1:66" x14ac:dyDescent="0.25">
      <c r="A149" s="203"/>
      <c r="B149" t="s">
        <v>779</v>
      </c>
      <c r="D149" s="1">
        <f t="shared" si="14"/>
        <v>9</v>
      </c>
      <c r="E149" t="s">
        <v>318</v>
      </c>
      <c r="F149" t="s">
        <v>319</v>
      </c>
      <c r="AM149" s="51"/>
      <c r="AP149" s="52"/>
      <c r="AQ149" s="51"/>
      <c r="AT149" s="52"/>
      <c r="AU149" s="51"/>
      <c r="AV149"/>
      <c r="AW149"/>
      <c r="AX149" s="52"/>
      <c r="BC149" s="30" t="s">
        <v>23</v>
      </c>
      <c r="BD149" s="30" t="s">
        <v>24</v>
      </c>
      <c r="BE149" s="30" t="s">
        <v>24</v>
      </c>
      <c r="BG149" s="80" t="s">
        <v>24</v>
      </c>
      <c r="BH149" s="30" t="s">
        <v>24</v>
      </c>
      <c r="BI149" s="30" t="s">
        <v>24</v>
      </c>
      <c r="BK149" s="76" t="s">
        <v>24</v>
      </c>
      <c r="BL149" s="30" t="s">
        <v>24</v>
      </c>
      <c r="BM149" s="30" t="s">
        <v>24</v>
      </c>
    </row>
    <row r="150" spans="1:66" x14ac:dyDescent="0.25">
      <c r="A150" s="203"/>
      <c r="B150" t="s">
        <v>780</v>
      </c>
      <c r="D150" s="1">
        <f t="shared" si="14"/>
        <v>9</v>
      </c>
      <c r="E150" t="s">
        <v>321</v>
      </c>
      <c r="F150" t="s">
        <v>322</v>
      </c>
      <c r="G150" s="51"/>
      <c r="H150"/>
      <c r="I150"/>
      <c r="J150"/>
      <c r="K150" s="51"/>
      <c r="L150"/>
      <c r="M150"/>
      <c r="N150"/>
      <c r="O150" s="51"/>
      <c r="P150"/>
      <c r="Q150"/>
      <c r="R150"/>
      <c r="S150" s="51"/>
      <c r="T150"/>
      <c r="U150"/>
      <c r="V150"/>
      <c r="W150" s="51"/>
      <c r="X150"/>
      <c r="Y150"/>
      <c r="Z150"/>
      <c r="AA150" s="51"/>
      <c r="AB150"/>
      <c r="AC150"/>
      <c r="AD150"/>
      <c r="AE150" s="51"/>
      <c r="AF150"/>
      <c r="AG150"/>
      <c r="AH150"/>
      <c r="AM150" s="51"/>
      <c r="AP150" s="52"/>
      <c r="AQ150" s="51"/>
      <c r="AT150" s="52"/>
      <c r="AU150" s="51"/>
      <c r="AV150"/>
      <c r="AW150"/>
      <c r="AX150" s="52"/>
      <c r="BC150" s="30" t="s">
        <v>23</v>
      </c>
      <c r="BD150" s="30" t="s">
        <v>24</v>
      </c>
      <c r="BE150" s="30" t="s">
        <v>24</v>
      </c>
      <c r="BG150" s="80" t="s">
        <v>24</v>
      </c>
      <c r="BH150" s="30" t="s">
        <v>24</v>
      </c>
      <c r="BI150" s="30" t="s">
        <v>24</v>
      </c>
      <c r="BK150" s="76" t="s">
        <v>24</v>
      </c>
      <c r="BL150" s="30" t="s">
        <v>24</v>
      </c>
      <c r="BM150" s="30" t="s">
        <v>24</v>
      </c>
      <c r="BN150"/>
    </row>
    <row r="151" spans="1:66" x14ac:dyDescent="0.25">
      <c r="A151" s="203"/>
      <c r="B151" t="s">
        <v>781</v>
      </c>
      <c r="D151" s="1">
        <f t="shared" si="14"/>
        <v>9</v>
      </c>
      <c r="E151" t="s">
        <v>324</v>
      </c>
      <c r="F151" t="s">
        <v>325</v>
      </c>
      <c r="G151" s="51"/>
      <c r="H151"/>
      <c r="I151"/>
      <c r="J151"/>
      <c r="K151" s="51"/>
      <c r="L151"/>
      <c r="M151"/>
      <c r="N151"/>
      <c r="O151" s="51"/>
      <c r="P151"/>
      <c r="Q151"/>
      <c r="R151"/>
      <c r="S151" s="51"/>
      <c r="T151"/>
      <c r="U151"/>
      <c r="V151"/>
      <c r="W151" s="51"/>
      <c r="X151"/>
      <c r="Y151"/>
      <c r="Z151"/>
      <c r="AA151" s="51"/>
      <c r="AB151"/>
      <c r="AC151"/>
      <c r="AD151"/>
      <c r="AE151" s="51"/>
      <c r="AF151"/>
      <c r="AG151"/>
      <c r="AH151"/>
      <c r="AM151" s="51"/>
      <c r="AP151" s="52"/>
      <c r="AQ151" s="51"/>
      <c r="AT151" s="52"/>
      <c r="AU151" s="51"/>
      <c r="AV151"/>
      <c r="AW151"/>
      <c r="AX151" s="52"/>
      <c r="BC151" s="30" t="s">
        <v>23</v>
      </c>
      <c r="BD151" s="30" t="s">
        <v>24</v>
      </c>
      <c r="BE151" s="30" t="s">
        <v>24</v>
      </c>
      <c r="BG151" s="80" t="s">
        <v>24</v>
      </c>
      <c r="BH151" s="30" t="s">
        <v>24</v>
      </c>
      <c r="BI151" s="30" t="s">
        <v>24</v>
      </c>
      <c r="BK151" s="76" t="s">
        <v>24</v>
      </c>
      <c r="BL151" s="30" t="s">
        <v>24</v>
      </c>
      <c r="BM151" s="30" t="s">
        <v>24</v>
      </c>
      <c r="BN151"/>
    </row>
    <row r="152" spans="1:66" x14ac:dyDescent="0.25">
      <c r="A152" s="203"/>
      <c r="B152" t="s">
        <v>782</v>
      </c>
      <c r="D152" s="1">
        <f t="shared" si="14"/>
        <v>9</v>
      </c>
      <c r="E152" t="s">
        <v>327</v>
      </c>
      <c r="F152" t="s">
        <v>328</v>
      </c>
      <c r="G152" s="51"/>
      <c r="H152"/>
      <c r="I152"/>
      <c r="J152"/>
      <c r="K152" s="51"/>
      <c r="L152"/>
      <c r="M152"/>
      <c r="N152"/>
      <c r="O152" s="51"/>
      <c r="P152"/>
      <c r="Q152"/>
      <c r="R152"/>
      <c r="S152" s="51"/>
      <c r="T152"/>
      <c r="U152"/>
      <c r="V152"/>
      <c r="W152" s="51"/>
      <c r="X152"/>
      <c r="Y152"/>
      <c r="Z152"/>
      <c r="AA152" s="51"/>
      <c r="AB152"/>
      <c r="AC152"/>
      <c r="AD152"/>
      <c r="AE152" s="51"/>
      <c r="AF152"/>
      <c r="AG152"/>
      <c r="AH152"/>
      <c r="AM152" s="51"/>
      <c r="AP152" s="52"/>
      <c r="AQ152" s="51"/>
      <c r="AT152" s="52"/>
      <c r="AU152" s="51"/>
      <c r="AV152"/>
      <c r="AW152"/>
      <c r="AX152" s="52"/>
      <c r="BC152" s="30" t="s">
        <v>23</v>
      </c>
      <c r="BD152" s="30" t="s">
        <v>24</v>
      </c>
      <c r="BE152" s="30" t="s">
        <v>24</v>
      </c>
      <c r="BG152" s="80" t="s">
        <v>24</v>
      </c>
      <c r="BH152" s="30" t="s">
        <v>24</v>
      </c>
      <c r="BI152" s="30" t="s">
        <v>24</v>
      </c>
      <c r="BK152" s="76" t="s">
        <v>24</v>
      </c>
      <c r="BL152" s="30" t="s">
        <v>24</v>
      </c>
      <c r="BM152" s="30" t="s">
        <v>24</v>
      </c>
      <c r="BN152"/>
    </row>
    <row r="153" spans="1:66" s="8" customFormat="1" ht="6.75" customHeight="1" x14ac:dyDescent="0.25">
      <c r="A153" s="203"/>
      <c r="C153" s="18"/>
      <c r="D153" s="10"/>
      <c r="G153" s="50"/>
      <c r="H153" s="38"/>
      <c r="I153" s="38"/>
      <c r="J153" s="38"/>
      <c r="K153" s="50"/>
      <c r="L153" s="38"/>
      <c r="M153" s="38"/>
      <c r="N153" s="38"/>
      <c r="O153" s="66"/>
      <c r="P153" s="33"/>
      <c r="Q153" s="33"/>
      <c r="R153" s="33"/>
      <c r="S153" s="66"/>
      <c r="T153" s="33"/>
      <c r="U153" s="33"/>
      <c r="V153" s="33"/>
      <c r="W153" s="66"/>
      <c r="X153" s="33"/>
      <c r="Y153" s="33"/>
      <c r="Z153" s="33"/>
      <c r="AA153" s="66"/>
      <c r="AB153" s="33"/>
      <c r="AC153" s="33"/>
      <c r="AD153" s="33"/>
      <c r="AE153" s="66"/>
      <c r="AF153" s="33"/>
      <c r="AG153" s="33"/>
      <c r="AH153" s="33"/>
      <c r="AI153" s="84"/>
      <c r="AL153" s="83"/>
      <c r="AU153" s="66"/>
      <c r="AV153" s="33"/>
      <c r="AW153" s="33"/>
      <c r="AX153" s="33"/>
      <c r="AY153" s="84"/>
      <c r="BB153" s="83"/>
      <c r="BK153" s="66"/>
      <c r="BL153" s="33"/>
      <c r="BM153" s="33"/>
      <c r="BN153" s="33"/>
    </row>
    <row r="154" spans="1:66" x14ac:dyDescent="0.25">
      <c r="A154" s="203"/>
      <c r="B154" t="s">
        <v>305</v>
      </c>
      <c r="D154" s="1">
        <f t="shared" si="14"/>
        <v>0</v>
      </c>
      <c r="F154" t="s">
        <v>329</v>
      </c>
      <c r="G154" s="51"/>
      <c r="H154"/>
      <c r="I154"/>
      <c r="J154"/>
      <c r="K154" s="51"/>
      <c r="L154"/>
      <c r="M154"/>
      <c r="N154"/>
      <c r="O154" s="51"/>
      <c r="P154"/>
      <c r="Q154"/>
      <c r="R154"/>
      <c r="S154" s="51"/>
      <c r="T154"/>
      <c r="U154"/>
      <c r="V154"/>
      <c r="W154" s="51"/>
      <c r="X154"/>
      <c r="Y154"/>
      <c r="Z154"/>
      <c r="AA154" s="51"/>
      <c r="AB154"/>
      <c r="AC154"/>
      <c r="AD154"/>
      <c r="AE154" s="51"/>
      <c r="AF154"/>
      <c r="AG154"/>
      <c r="AH154"/>
      <c r="AU154" s="51"/>
      <c r="AV154"/>
      <c r="AW154"/>
      <c r="AX154"/>
      <c r="BK154" s="51"/>
      <c r="BL154"/>
      <c r="BM154"/>
      <c r="BN154"/>
    </row>
    <row r="155" spans="1:66" x14ac:dyDescent="0.25">
      <c r="A155" s="203"/>
      <c r="B155" t="s">
        <v>308</v>
      </c>
      <c r="D155" s="1">
        <f t="shared" si="14"/>
        <v>0</v>
      </c>
      <c r="E155" t="s">
        <v>330</v>
      </c>
      <c r="F155" t="s">
        <v>331</v>
      </c>
      <c r="G155" s="51"/>
      <c r="H155"/>
      <c r="I155"/>
      <c r="J155"/>
      <c r="K155" s="51"/>
      <c r="L155"/>
      <c r="M155"/>
      <c r="N155"/>
      <c r="O155" s="51"/>
      <c r="P155"/>
      <c r="Q155"/>
      <c r="R155"/>
      <c r="S155" s="51"/>
      <c r="T155"/>
      <c r="U155"/>
      <c r="V155"/>
      <c r="W155" s="51"/>
      <c r="X155"/>
      <c r="Y155"/>
      <c r="Z155"/>
      <c r="AA155" s="51"/>
      <c r="AB155"/>
      <c r="AC155"/>
      <c r="AD155"/>
      <c r="AE155" s="51"/>
      <c r="AF155"/>
      <c r="AG155"/>
      <c r="AH155"/>
      <c r="AU155" s="51"/>
      <c r="AV155"/>
      <c r="AW155"/>
      <c r="AX155"/>
      <c r="BK155" s="51"/>
      <c r="BL155"/>
      <c r="BM155"/>
      <c r="BN155"/>
    </row>
    <row r="156" spans="1:66" x14ac:dyDescent="0.25">
      <c r="A156" s="203"/>
      <c r="B156" t="s">
        <v>311</v>
      </c>
      <c r="D156" s="1">
        <f t="shared" si="14"/>
        <v>0</v>
      </c>
      <c r="F156" t="s">
        <v>332</v>
      </c>
      <c r="G156" s="51"/>
      <c r="H156"/>
      <c r="I156"/>
      <c r="J156"/>
      <c r="K156" s="51"/>
      <c r="L156"/>
      <c r="M156"/>
      <c r="N156"/>
      <c r="O156" s="51"/>
      <c r="P156"/>
      <c r="Q156"/>
      <c r="R156"/>
      <c r="S156" s="51"/>
      <c r="T156"/>
      <c r="U156"/>
      <c r="V156"/>
      <c r="W156" s="51"/>
      <c r="X156"/>
      <c r="Y156"/>
      <c r="Z156"/>
      <c r="AA156" s="51"/>
      <c r="AB156"/>
      <c r="AC156"/>
      <c r="AD156"/>
      <c r="AE156" s="51"/>
      <c r="AF156"/>
      <c r="AG156"/>
      <c r="AH156"/>
      <c r="AU156" s="51"/>
      <c r="AV156"/>
      <c r="AW156"/>
      <c r="AX156"/>
      <c r="BK156" s="51"/>
      <c r="BL156"/>
      <c r="BM156"/>
      <c r="BN156"/>
    </row>
    <row r="157" spans="1:66" x14ac:dyDescent="0.25">
      <c r="A157" s="203"/>
      <c r="B157" t="s">
        <v>314</v>
      </c>
      <c r="D157" s="1">
        <f t="shared" si="14"/>
        <v>0</v>
      </c>
      <c r="F157" t="s">
        <v>333</v>
      </c>
      <c r="G157" s="51"/>
      <c r="H157"/>
      <c r="I157"/>
      <c r="J157"/>
      <c r="K157" s="51"/>
      <c r="L157"/>
      <c r="M157"/>
      <c r="N157"/>
      <c r="O157" s="51"/>
      <c r="P157"/>
      <c r="Q157"/>
      <c r="R157"/>
      <c r="S157" s="51"/>
      <c r="T157"/>
      <c r="U157"/>
      <c r="V157"/>
      <c r="W157" s="51"/>
      <c r="X157"/>
      <c r="Y157"/>
      <c r="Z157"/>
      <c r="AA157" s="51"/>
      <c r="AB157"/>
      <c r="AC157"/>
      <c r="AD157"/>
      <c r="AE157" s="51"/>
      <c r="AF157"/>
      <c r="AG157"/>
      <c r="AH157"/>
      <c r="AU157" s="51"/>
      <c r="AV157"/>
      <c r="AW157"/>
      <c r="AX157"/>
      <c r="BK157" s="51"/>
      <c r="BL157"/>
      <c r="BM157"/>
      <c r="BN157"/>
    </row>
    <row r="158" spans="1:66" x14ac:dyDescent="0.25">
      <c r="A158" s="203"/>
      <c r="B158" t="s">
        <v>317</v>
      </c>
      <c r="D158" s="1">
        <f t="shared" si="14"/>
        <v>0</v>
      </c>
      <c r="F158" t="s">
        <v>334</v>
      </c>
      <c r="G158" s="51"/>
      <c r="H158"/>
      <c r="I158"/>
      <c r="J158"/>
      <c r="K158" s="51"/>
      <c r="L158"/>
      <c r="M158"/>
      <c r="N158"/>
      <c r="O158" s="51"/>
      <c r="P158"/>
      <c r="Q158"/>
      <c r="R158"/>
      <c r="S158" s="51"/>
      <c r="T158"/>
      <c r="U158"/>
      <c r="V158"/>
      <c r="W158" s="51"/>
      <c r="X158"/>
      <c r="Y158"/>
      <c r="Z158"/>
      <c r="AA158" s="51"/>
      <c r="AB158"/>
      <c r="AC158"/>
      <c r="AD158"/>
      <c r="AE158" s="51"/>
      <c r="AF158"/>
      <c r="AG158"/>
      <c r="AH158"/>
      <c r="AU158" s="51"/>
      <c r="AV158"/>
      <c r="AW158"/>
      <c r="AX158"/>
      <c r="BK158" s="51"/>
      <c r="BL158"/>
      <c r="BM158"/>
      <c r="BN158"/>
    </row>
    <row r="159" spans="1:66" x14ac:dyDescent="0.25">
      <c r="A159" s="203"/>
      <c r="B159" t="s">
        <v>320</v>
      </c>
      <c r="D159" s="1">
        <f t="shared" si="14"/>
        <v>0</v>
      </c>
      <c r="F159" t="s">
        <v>335</v>
      </c>
      <c r="G159" s="51"/>
      <c r="H159"/>
      <c r="I159"/>
      <c r="J159"/>
      <c r="K159" s="51"/>
      <c r="L159"/>
      <c r="M159"/>
      <c r="N159"/>
      <c r="O159" s="51"/>
      <c r="P159"/>
      <c r="Q159"/>
      <c r="R159"/>
      <c r="S159" s="51"/>
      <c r="T159"/>
      <c r="U159"/>
      <c r="V159"/>
      <c r="W159" s="51"/>
      <c r="X159"/>
      <c r="Y159"/>
      <c r="Z159"/>
      <c r="AA159" s="51"/>
      <c r="AB159"/>
      <c r="AC159"/>
      <c r="AD159"/>
      <c r="AE159" s="51"/>
      <c r="AF159"/>
      <c r="AG159"/>
      <c r="AH159"/>
      <c r="AU159" s="51"/>
      <c r="AV159"/>
      <c r="AW159"/>
      <c r="AX159"/>
      <c r="BK159" s="51"/>
      <c r="BL159"/>
      <c r="BM159"/>
      <c r="BN159"/>
    </row>
    <row r="160" spans="1:66" x14ac:dyDescent="0.25">
      <c r="A160" s="203"/>
      <c r="B160" t="s">
        <v>323</v>
      </c>
      <c r="D160" s="1">
        <f t="shared" si="14"/>
        <v>0</v>
      </c>
      <c r="E160" t="s">
        <v>336</v>
      </c>
      <c r="F160" t="s">
        <v>337</v>
      </c>
      <c r="G160" s="51"/>
      <c r="H160"/>
      <c r="I160"/>
      <c r="J160"/>
      <c r="K160" s="51"/>
      <c r="L160"/>
      <c r="M160"/>
      <c r="N160"/>
      <c r="O160" s="51"/>
      <c r="P160"/>
      <c r="Q160"/>
      <c r="R160"/>
      <c r="S160" s="51"/>
      <c r="T160"/>
      <c r="U160"/>
      <c r="V160"/>
      <c r="W160" s="51"/>
      <c r="X160"/>
      <c r="Y160"/>
      <c r="Z160"/>
      <c r="AA160" s="51"/>
      <c r="AB160"/>
      <c r="AC160"/>
      <c r="AD160"/>
      <c r="AE160" s="51"/>
      <c r="AF160"/>
      <c r="AG160"/>
      <c r="AH160"/>
      <c r="AU160" s="51"/>
      <c r="AV160"/>
      <c r="AW160"/>
      <c r="AX160"/>
      <c r="BK160" s="51"/>
      <c r="BL160"/>
      <c r="BM160"/>
      <c r="BN160"/>
    </row>
    <row r="161" spans="1:66" x14ac:dyDescent="0.25">
      <c r="A161" s="203"/>
      <c r="B161" t="s">
        <v>326</v>
      </c>
      <c r="D161" s="1">
        <f t="shared" si="14"/>
        <v>0</v>
      </c>
      <c r="F161" t="s">
        <v>338</v>
      </c>
      <c r="G161" s="51"/>
      <c r="H161"/>
      <c r="I161"/>
      <c r="J161"/>
      <c r="K161" s="51"/>
      <c r="L161"/>
      <c r="M161"/>
      <c r="N161"/>
      <c r="O161" s="51"/>
      <c r="P161"/>
      <c r="Q161"/>
      <c r="R161"/>
      <c r="S161" s="51"/>
      <c r="T161"/>
      <c r="U161"/>
      <c r="V161"/>
      <c r="W161" s="51"/>
      <c r="X161"/>
      <c r="Y161"/>
      <c r="Z161"/>
      <c r="AA161" s="51"/>
      <c r="AB161"/>
      <c r="AC161"/>
      <c r="AD161"/>
      <c r="AE161" s="51"/>
      <c r="AF161"/>
      <c r="AG161"/>
      <c r="AH161"/>
      <c r="AU161" s="51"/>
      <c r="AV161"/>
      <c r="AW161"/>
      <c r="AX161"/>
      <c r="BK161" s="51"/>
      <c r="BL161"/>
      <c r="BM161"/>
      <c r="BN161"/>
    </row>
  </sheetData>
  <mergeCells count="45">
    <mergeCell ref="A117:A161"/>
    <mergeCell ref="A108:A115"/>
    <mergeCell ref="AI8:AL8"/>
    <mergeCell ref="D9:F9"/>
    <mergeCell ref="AU1:AX1"/>
    <mergeCell ref="AY1:BB1"/>
    <mergeCell ref="AQ1:AT1"/>
    <mergeCell ref="AU8:AX8"/>
    <mergeCell ref="AY8:BB8"/>
    <mergeCell ref="AM1:AP1"/>
    <mergeCell ref="AM8:AP8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D7:F7"/>
    <mergeCell ref="G1:J1"/>
    <mergeCell ref="G10:BJ10"/>
    <mergeCell ref="W1:Z1"/>
    <mergeCell ref="O8:R8"/>
    <mergeCell ref="D8:F8"/>
    <mergeCell ref="B6:B7"/>
    <mergeCell ref="W8:Z8"/>
    <mergeCell ref="S8:V8"/>
    <mergeCell ref="D4:F4"/>
    <mergeCell ref="D3:F3"/>
    <mergeCell ref="AQ8:AT8"/>
    <mergeCell ref="AE8:AH8"/>
    <mergeCell ref="AA8:AD8"/>
    <mergeCell ref="BC1:BF1"/>
    <mergeCell ref="BG1:BJ1"/>
    <mergeCell ref="BC8:BF8"/>
    <mergeCell ref="BG8:BJ8"/>
    <mergeCell ref="BK1:BN1"/>
    <mergeCell ref="BK8:BN8"/>
    <mergeCell ref="AE1:AH1"/>
    <mergeCell ref="AA1:AD1"/>
    <mergeCell ref="AM9:BJ9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2026-10-15T12:25:31Z</dcterms:modified>
</cp:coreProperties>
</file>
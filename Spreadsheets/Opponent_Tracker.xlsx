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okemon TCG Legacy\Spreadsheets\"/>
    </mc:Choice>
  </mc:AlternateContent>
  <xr:revisionPtr revIDLastSave="0" documentId="13_ncr:1_{CF2EAB90-046D-4614-BEBD-0E75D3668764}" xr6:coauthVersionLast="47" xr6:coauthVersionMax="47" xr10:uidLastSave="{00000000-0000-0000-0000-000000000000}"/>
  <bookViews>
    <workbookView xWindow="-105" yWindow="0" windowWidth="29010" windowHeight="15585" xr2:uid="{00000000-000D-0000-FFFF-FFFF00000000}"/>
  </bookViews>
  <sheets>
    <sheet name="opponents_table" sheetId="1" r:id="rId1"/>
    <sheet name="coins_tab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O3" i="1"/>
  <c r="N3" i="1"/>
  <c r="M3" i="1"/>
  <c r="L3" i="1"/>
  <c r="K3" i="1"/>
  <c r="J3" i="1"/>
  <c r="I3" i="1"/>
  <c r="H3" i="1"/>
  <c r="G3" i="1"/>
  <c r="F3" i="1"/>
  <c r="H8" i="1"/>
  <c r="E4" i="1"/>
  <c r="E3" i="1"/>
  <c r="K8" i="1"/>
  <c r="T8" i="1"/>
  <c r="Q8" i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2" i="2"/>
  <c r="N8" i="1" l="1"/>
  <c r="Q9" i="1"/>
  <c r="E8" i="1"/>
  <c r="E10" i="1" l="1"/>
  <c r="E9" i="1"/>
</calcChain>
</file>

<file path=xl/sharedStrings.xml><?xml version="1.0" encoding="utf-8"?>
<sst xmlns="http://schemas.openxmlformats.org/spreadsheetml/2006/main" count="1023" uniqueCount="777">
  <si>
    <t>Opponent</t>
  </si>
  <si>
    <t>Day 1</t>
  </si>
  <si>
    <t>Eve 1</t>
  </si>
  <si>
    <t>Night 1</t>
  </si>
  <si>
    <t>Day 2</t>
  </si>
  <si>
    <t>Eve 2</t>
  </si>
  <si>
    <t>Night 2</t>
  </si>
  <si>
    <t>Youngster Joey</t>
  </si>
  <si>
    <t>Basic Pokemon Barrage</t>
  </si>
  <si>
    <t>✅</t>
  </si>
  <si>
    <t>Gambler Mick</t>
  </si>
  <si>
    <t>You Win Some N Lose Some</t>
  </si>
  <si>
    <t>Schoolboy Adam</t>
  </si>
  <si>
    <t>Status Infliction</t>
  </si>
  <si>
    <t>Fisherman Dave</t>
  </si>
  <si>
    <t>Fishy Fish</t>
  </si>
  <si>
    <t>Fisherman John</t>
  </si>
  <si>
    <t>Seavolutions</t>
  </si>
  <si>
    <t>Engineer Allan</t>
  </si>
  <si>
    <t>Zzzap</t>
  </si>
  <si>
    <t>Gardener Callum</t>
  </si>
  <si>
    <t>Pollen Power</t>
  </si>
  <si>
    <t>Painter Jericho</t>
  </si>
  <si>
    <t>Art Assistants</t>
  </si>
  <si>
    <t>Beach Kid Timothy</t>
  </si>
  <si>
    <t>I Love Sand And Sea</t>
  </si>
  <si>
    <t>Beach Kid Evie</t>
  </si>
  <si>
    <t>Pika And Friends</t>
  </si>
  <si>
    <t>Swimmer Jordan</t>
  </si>
  <si>
    <t>Whirlgong</t>
  </si>
  <si>
    <t>Swimmer Todd</t>
  </si>
  <si>
    <t>I See Sea</t>
  </si>
  <si>
    <t>Battlegirl Sofia</t>
  </si>
  <si>
    <t>Brickbreaker</t>
  </si>
  <si>
    <t>Birdspotter Tamsin</t>
  </si>
  <si>
    <t>Lil Birbs</t>
  </si>
  <si>
    <t>Bug Catcher Alex</t>
  </si>
  <si>
    <t>I Love Bugs!</t>
  </si>
  <si>
    <t>Strange Plants</t>
  </si>
  <si>
    <t>Hiker Matthew</t>
  </si>
  <si>
    <t>Rocks N Stones</t>
  </si>
  <si>
    <t>Jogger Daniel</t>
  </si>
  <si>
    <t>Nido Nido Meow</t>
  </si>
  <si>
    <t>Firebreather Darryl</t>
  </si>
  <si>
    <t>Hot Air</t>
  </si>
  <si>
    <t>Firebreather Kenneth</t>
  </si>
  <si>
    <t>Quadrapedal Firestarters</t>
  </si>
  <si>
    <t>Psychic Brienne</t>
  </si>
  <si>
    <t>Meditation Meditation</t>
  </si>
  <si>
    <t>Sailor Bob</t>
  </si>
  <si>
    <t>Hoist The Anchor</t>
  </si>
  <si>
    <t>Bad Dude Paul</t>
  </si>
  <si>
    <t>Bad Guys</t>
  </si>
  <si>
    <t>Young Twin Anna</t>
  </si>
  <si>
    <t>Pretty Plants N Butterfly</t>
  </si>
  <si>
    <t>Young Twin Nella</t>
  </si>
  <si>
    <t>Scary Plants N Bees</t>
  </si>
  <si>
    <t>Bug Catcher Frankie</t>
  </si>
  <si>
    <t>Big Bad Bugs!</t>
  </si>
  <si>
    <t>Swimmer Melissa</t>
  </si>
  <si>
    <t>Poligong's Wrath</t>
  </si>
  <si>
    <t>Birdspotter Gregg</t>
  </si>
  <si>
    <t>Big Ol Birbs</t>
  </si>
  <si>
    <t>Fisherman Gary</t>
  </si>
  <si>
    <t>Big Catch</t>
  </si>
  <si>
    <t>Girl Power</t>
  </si>
  <si>
    <t>Elegance</t>
  </si>
  <si>
    <t>Heavy Metal</t>
  </si>
  <si>
    <t>Guitarist Howard</t>
  </si>
  <si>
    <t>Rock N Shock</t>
  </si>
  <si>
    <t>Garden Manager Louis</t>
  </si>
  <si>
    <t>Solar Power</t>
  </si>
  <si>
    <t>Card Elder Hamish</t>
  </si>
  <si>
    <t>Haymaker</t>
  </si>
  <si>
    <t>Card Elder Rayne</t>
  </si>
  <si>
    <t>Rain Dance</t>
  </si>
  <si>
    <t>Do The Wave</t>
  </si>
  <si>
    <t>Hiker Ben</t>
  </si>
  <si>
    <t>Solid Ground</t>
  </si>
  <si>
    <t>Engineer Brad</t>
  </si>
  <si>
    <t>Work Hard Play Hard</t>
  </si>
  <si>
    <t>Bad Dude Wayne</t>
  </si>
  <si>
    <t>Dark Poison</t>
  </si>
  <si>
    <t>Rocket Grunt Damien</t>
  </si>
  <si>
    <t>Rocket Underlings</t>
  </si>
  <si>
    <t>Rocket Grunt Penny</t>
  </si>
  <si>
    <t>Rocket Blast Off</t>
  </si>
  <si>
    <t>Card Elder Waverly</t>
  </si>
  <si>
    <t>Guitarist Jonesy</t>
  </si>
  <si>
    <t>Day 3</t>
  </si>
  <si>
    <t>Eve 3</t>
  </si>
  <si>
    <t>Aromagirl Penelope</t>
  </si>
  <si>
    <t>Pikachu Fan Marina</t>
  </si>
  <si>
    <t>Pikachu Fan Skye</t>
  </si>
  <si>
    <t>Pikachu Fan Cami</t>
  </si>
  <si>
    <t>Pikachu Fan Juniper</t>
  </si>
  <si>
    <t>Pikachu Fan Raye</t>
  </si>
  <si>
    <t>Pikachu Fan Leaf</t>
  </si>
  <si>
    <t>Pikachu Mum</t>
  </si>
  <si>
    <t>Fossil Expert Jonathan</t>
  </si>
  <si>
    <t>Gentleman Benedict</t>
  </si>
  <si>
    <t>Ninjaboy Sasuke</t>
  </si>
  <si>
    <t>Youngster Milo</t>
  </si>
  <si>
    <t>Card Expert Nathan</t>
  </si>
  <si>
    <t>Card Expert Ruby</t>
  </si>
  <si>
    <t>Wave Surfing</t>
  </si>
  <si>
    <t>Fly Away</t>
  </si>
  <si>
    <t>Snap!</t>
  </si>
  <si>
    <t>Forest Mouse</t>
  </si>
  <si>
    <t>Thunderbolt!</t>
  </si>
  <si>
    <t>Leafychu</t>
  </si>
  <si>
    <t>All the Pikachu!</t>
  </si>
  <si>
    <t>Earth Sea Sky</t>
  </si>
  <si>
    <t>Colorless Crusher</t>
  </si>
  <si>
    <t>Ssssssnakes</t>
  </si>
  <si>
    <t>Creepy Crawlies</t>
  </si>
  <si>
    <t>Energy Burn</t>
  </si>
  <si>
    <t>Burnt Up</t>
  </si>
  <si>
    <t>Day 4</t>
  </si>
  <si>
    <t>Eve 4</t>
  </si>
  <si>
    <t>Night 4</t>
  </si>
  <si>
    <t>CELESTE HARBOUR</t>
  </si>
  <si>
    <t>Swimmer Bibi</t>
  </si>
  <si>
    <t>Dark Rainstorm</t>
  </si>
  <si>
    <t>Forest Ranger Tucker</t>
  </si>
  <si>
    <t>Poisonous Stingers</t>
  </si>
  <si>
    <t>Lady Fiona</t>
  </si>
  <si>
    <t>Foul Toxins</t>
  </si>
  <si>
    <t>Backpacker Patrick</t>
  </si>
  <si>
    <t>Land N Sea</t>
  </si>
  <si>
    <t>Card Expert Aurora</t>
  </si>
  <si>
    <t>Hailstorm</t>
  </si>
  <si>
    <t>Mad Scientist Leonard</t>
  </si>
  <si>
    <t>Headache</t>
  </si>
  <si>
    <t>Doctor Mortimor</t>
  </si>
  <si>
    <t>Self Affliction</t>
  </si>
  <si>
    <t>Hiker Walter</t>
  </si>
  <si>
    <t>Solid Workers</t>
  </si>
  <si>
    <t>Shady Character Owen</t>
  </si>
  <si>
    <t>Thunder Rush</t>
  </si>
  <si>
    <t>Shady Character Bernard</t>
  </si>
  <si>
    <t>Neverending Flames</t>
  </si>
  <si>
    <t>Ghost Whisperer Vera</t>
  </si>
  <si>
    <t>Terrible Nightmares</t>
  </si>
  <si>
    <t>Police Constable Floyd</t>
  </si>
  <si>
    <t>Police Sergeant Douglas</t>
  </si>
  <si>
    <t>Peace Keepers</t>
  </si>
  <si>
    <t>Energy Beams</t>
  </si>
  <si>
    <t>Scavenge And Retreat</t>
  </si>
  <si>
    <t>Rocket Grunt Margot</t>
  </si>
  <si>
    <t>Day 5</t>
  </si>
  <si>
    <t>Eve 5</t>
  </si>
  <si>
    <t>Night 5</t>
  </si>
  <si>
    <t>Psychic Nova</t>
  </si>
  <si>
    <t>Telekinesis</t>
  </si>
  <si>
    <t>Nature Lover Erin</t>
  </si>
  <si>
    <t>Young Sage Kai</t>
  </si>
  <si>
    <t>Forest Guardians</t>
  </si>
  <si>
    <t>Thunder Ball</t>
  </si>
  <si>
    <t>Youngster Cooper</t>
  </si>
  <si>
    <t>Solid Dynamite</t>
  </si>
  <si>
    <t>Gambler Victor</t>
  </si>
  <si>
    <t>Risky Flips</t>
  </si>
  <si>
    <t>Old Traveller Harold</t>
  </si>
  <si>
    <t>Old Traveller Cliff</t>
  </si>
  <si>
    <t>Hard Hitters</t>
  </si>
  <si>
    <t>Solid Invertebrates</t>
  </si>
  <si>
    <t>Clown Hubert</t>
  </si>
  <si>
    <t>Scary Phobias</t>
  </si>
  <si>
    <t>Clown Glenn</t>
  </si>
  <si>
    <t>Strange Damage Counters</t>
  </si>
  <si>
    <t>Rocket Exec Proton</t>
  </si>
  <si>
    <t>Rocket Exec Petrel</t>
  </si>
  <si>
    <t>Rocket Exec Ariana</t>
  </si>
  <si>
    <t>Rocket Exec Archer</t>
  </si>
  <si>
    <t>Under The Shadow Of Wings</t>
  </si>
  <si>
    <t>Relentless Poison</t>
  </si>
  <si>
    <t>Forced Evolutions</t>
  </si>
  <si>
    <t>Jet Shell</t>
  </si>
  <si>
    <t>Rocket Boss Giovanni</t>
  </si>
  <si>
    <t>Rocket Psychic Supremacy</t>
  </si>
  <si>
    <t>Veteran Sylvester</t>
  </si>
  <si>
    <t>Lost At Sea</t>
  </si>
  <si>
    <t>Psychic Eli</t>
  </si>
  <si>
    <t>Mind Control</t>
  </si>
  <si>
    <t>Light Engineer Chase</t>
  </si>
  <si>
    <t>Shock and Awe</t>
  </si>
  <si>
    <t>Granted By</t>
  </si>
  <si>
    <t>Coin</t>
  </si>
  <si>
    <t>abra silver</t>
  </si>
  <si>
    <t>aerodactyl brown</t>
  </si>
  <si>
    <t>aerodactyl silver</t>
  </si>
  <si>
    <t>alakazam purple</t>
  </si>
  <si>
    <t>alakazam purple 2</t>
  </si>
  <si>
    <t>alakazam silver</t>
  </si>
  <si>
    <t>arbok purple</t>
  </si>
  <si>
    <t>arcanine gold</t>
  </si>
  <si>
    <t>arcanine red</t>
  </si>
  <si>
    <t>arceus silver</t>
  </si>
  <si>
    <t>articuno blue</t>
  </si>
  <si>
    <t>azumarill blue</t>
  </si>
  <si>
    <t>back basic</t>
  </si>
  <si>
    <t>beedrill green</t>
  </si>
  <si>
    <t>bellsprout green</t>
  </si>
  <si>
    <t>blastoise blue</t>
  </si>
  <si>
    <t>blastoise blue 2</t>
  </si>
  <si>
    <t>blastoise blue 3</t>
  </si>
  <si>
    <t>blastoise silver</t>
  </si>
  <si>
    <t>blaziken gold</t>
  </si>
  <si>
    <t>blaziken red</t>
  </si>
  <si>
    <t>blissey pink</t>
  </si>
  <si>
    <t>bulbasaur gold</t>
  </si>
  <si>
    <t>bulbasaur green</t>
  </si>
  <si>
    <t>bulbasaur green 2</t>
  </si>
  <si>
    <t>butterfree purple</t>
  </si>
  <si>
    <t>caterpie green</t>
  </si>
  <si>
    <t>celebi green</t>
  </si>
  <si>
    <t>chansey green</t>
  </si>
  <si>
    <t>chansey pink</t>
  </si>
  <si>
    <t>chansey silver</t>
  </si>
  <si>
    <t>chansey silver 2</t>
  </si>
  <si>
    <t>charizard blue</t>
  </si>
  <si>
    <t>charizard gold</t>
  </si>
  <si>
    <t>charizard red</t>
  </si>
  <si>
    <t>charizard red 2</t>
  </si>
  <si>
    <t>charizard silver</t>
  </si>
  <si>
    <t>charmander Red</t>
  </si>
  <si>
    <t>charmander gold</t>
  </si>
  <si>
    <t>charmander red 2</t>
  </si>
  <si>
    <t>charmander squirtle blue</t>
  </si>
  <si>
    <t>charmander squirtle red</t>
  </si>
  <si>
    <t>charmeleon red</t>
  </si>
  <si>
    <t>chespin silver</t>
  </si>
  <si>
    <t>chikorita green</t>
  </si>
  <si>
    <t>chimchar red</t>
  </si>
  <si>
    <t>chiyu red</t>
  </si>
  <si>
    <t>clefable silver</t>
  </si>
  <si>
    <t>clefairy gold</t>
  </si>
  <si>
    <t>clefairy pink</t>
  </si>
  <si>
    <t>clefairy pink 2</t>
  </si>
  <si>
    <t>combusken red</t>
  </si>
  <si>
    <t>corviknight silver</t>
  </si>
  <si>
    <t>crobat pink</t>
  </si>
  <si>
    <t>croconaw silver</t>
  </si>
  <si>
    <t>cubone brown</t>
  </si>
  <si>
    <t>cyndaquil red</t>
  </si>
  <si>
    <t>darkrai gold</t>
  </si>
  <si>
    <t>darkrai silver</t>
  </si>
  <si>
    <t>darkrai umbreon silver</t>
  </si>
  <si>
    <t>darmanitan blue</t>
  </si>
  <si>
    <t>deoxys espeon silver</t>
  </si>
  <si>
    <t>deoxys red</t>
  </si>
  <si>
    <t>deoxys silver</t>
  </si>
  <si>
    <t>dewgong blue</t>
  </si>
  <si>
    <t>dialga blue 2</t>
  </si>
  <si>
    <t>dialga blue 3</t>
  </si>
  <si>
    <t>dialga silver</t>
  </si>
  <si>
    <t>diglett brown</t>
  </si>
  <si>
    <t>ditto pink</t>
  </si>
  <si>
    <t>doduo brown</t>
  </si>
  <si>
    <t>dragonair blue</t>
  </si>
  <si>
    <t>dragonair gold</t>
  </si>
  <si>
    <t>dragonite gold</t>
  </si>
  <si>
    <t>dragonite gold 2</t>
  </si>
  <si>
    <t>dragonite pink</t>
  </si>
  <si>
    <t>dragonite silver</t>
  </si>
  <si>
    <t>dratini blue</t>
  </si>
  <si>
    <t>drowzee gold</t>
  </si>
  <si>
    <t>dugtrio brown</t>
  </si>
  <si>
    <t>dusclops silver</t>
  </si>
  <si>
    <t>eevee blue</t>
  </si>
  <si>
    <t>eevee brown</t>
  </si>
  <si>
    <t>eevee gold</t>
  </si>
  <si>
    <t>eevee gold 2</t>
  </si>
  <si>
    <t>eevee gold 3</t>
  </si>
  <si>
    <t>eevee gold 4</t>
  </si>
  <si>
    <t>eevee pink</t>
  </si>
  <si>
    <t>eevee silver</t>
  </si>
  <si>
    <t>eevee silver 2</t>
  </si>
  <si>
    <t>eeveelutions silver</t>
  </si>
  <si>
    <t>electabuzz gold</t>
  </si>
  <si>
    <t>electrode gold</t>
  </si>
  <si>
    <t>electrode silver</t>
  </si>
  <si>
    <t>empoleon blue</t>
  </si>
  <si>
    <t>energies blue</t>
  </si>
  <si>
    <t>energies brown</t>
  </si>
  <si>
    <t>energies gold</t>
  </si>
  <si>
    <t>energies green</t>
  </si>
  <si>
    <t>energies purple</t>
  </si>
  <si>
    <t>energies red</t>
  </si>
  <si>
    <t>energy colorless silver</t>
  </si>
  <si>
    <t>energy darkness black</t>
  </si>
  <si>
    <t>energy darkness black 2</t>
  </si>
  <si>
    <t>energy dragon gold</t>
  </si>
  <si>
    <t>energy dragon gold 2</t>
  </si>
  <si>
    <t>energy fairy pink</t>
  </si>
  <si>
    <t>energy fighting brown</t>
  </si>
  <si>
    <t>energy fighting brown 2</t>
  </si>
  <si>
    <t>energy fire red</t>
  </si>
  <si>
    <t>energy fire red 2</t>
  </si>
  <si>
    <t>energy grass green</t>
  </si>
  <si>
    <t>energy grass green 2</t>
  </si>
  <si>
    <t>energy lightning gold</t>
  </si>
  <si>
    <t>energy lightning gold 2</t>
  </si>
  <si>
    <t>energy metal silver</t>
  </si>
  <si>
    <t>energy psychic purple</t>
  </si>
  <si>
    <t>energy psychic purple 2</t>
  </si>
  <si>
    <t>energy water blue</t>
  </si>
  <si>
    <t>energy water blue 2</t>
  </si>
  <si>
    <t>entei red</t>
  </si>
  <si>
    <t>espeon pink</t>
  </si>
  <si>
    <t>espeon purple</t>
  </si>
  <si>
    <t>exans purple</t>
  </si>
  <si>
    <t>exeggutor green</t>
  </si>
  <si>
    <t>farfetchd silver</t>
  </si>
  <si>
    <t>fennekin silver</t>
  </si>
  <si>
    <t>feraligatr blue</t>
  </si>
  <si>
    <t>flareon red</t>
  </si>
  <si>
    <t>fluttermane silver</t>
  </si>
  <si>
    <t>flygon green</t>
  </si>
  <si>
    <t>froakie chespin fennekin silver</t>
  </si>
  <si>
    <t>froakie silver</t>
  </si>
  <si>
    <t>garchomp gold</t>
  </si>
  <si>
    <t>gardevoir purple</t>
  </si>
  <si>
    <t>gardevoir silver</t>
  </si>
  <si>
    <t>gardevoir silver 2</t>
  </si>
  <si>
    <t>gastly purple</t>
  </si>
  <si>
    <t>genesect silver</t>
  </si>
  <si>
    <t>gengar gold</t>
  </si>
  <si>
    <t>gengar purple</t>
  </si>
  <si>
    <t>geodude gold</t>
  </si>
  <si>
    <t>giratina silver</t>
  </si>
  <si>
    <t>glaceon blue</t>
  </si>
  <si>
    <t>gloom green</t>
  </si>
  <si>
    <t>goldbat gold</t>
  </si>
  <si>
    <t>golduck blue</t>
  </si>
  <si>
    <t>grimer purple</t>
  </si>
  <si>
    <t>grookey green</t>
  </si>
  <si>
    <t>grookey scorbunny sobble silver</t>
  </si>
  <si>
    <t>groudon red</t>
  </si>
  <si>
    <t>growlithe red</t>
  </si>
  <si>
    <t>gyarados blue</t>
  </si>
  <si>
    <t>gyarados gold</t>
  </si>
  <si>
    <t>gyarados red</t>
  </si>
  <si>
    <t>gyarados silver</t>
  </si>
  <si>
    <t>haunter purple</t>
  </si>
  <si>
    <t>hitmonchan silver</t>
  </si>
  <si>
    <t>hitmonlee brown</t>
  </si>
  <si>
    <t>hooh gold</t>
  </si>
  <si>
    <t>hooh red</t>
  </si>
  <si>
    <t>horsea blue</t>
  </si>
  <si>
    <t>hydreigon silver</t>
  </si>
  <si>
    <t>hypno gold</t>
  </si>
  <si>
    <t>infernape gallade gold</t>
  </si>
  <si>
    <t>ivysaur green</t>
  </si>
  <si>
    <t>jigglypuff pink 2</t>
  </si>
  <si>
    <t>jirachi gold</t>
  </si>
  <si>
    <t>jolteon silver</t>
  </si>
  <si>
    <t>kabuto gold</t>
  </si>
  <si>
    <t>kadabra purple</t>
  </si>
  <si>
    <t>kakuna gold</t>
  </si>
  <si>
    <t>kangaskhan silver</t>
  </si>
  <si>
    <t>kingler blue</t>
  </si>
  <si>
    <t>kleavor brown</t>
  </si>
  <si>
    <t>koffing purple</t>
  </si>
  <si>
    <t>koraidon red</t>
  </si>
  <si>
    <t>krabby blue</t>
  </si>
  <si>
    <t>kyogre blue</t>
  </si>
  <si>
    <t>lapras blue</t>
  </si>
  <si>
    <t>leafeon green</t>
  </si>
  <si>
    <t>lickitung silver</t>
  </si>
  <si>
    <t>litten red</t>
  </si>
  <si>
    <t>lucario gold</t>
  </si>
  <si>
    <t>lucario red</t>
  </si>
  <si>
    <t>lugia blue</t>
  </si>
  <si>
    <t>lugia gold</t>
  </si>
  <si>
    <t>lugia silver</t>
  </si>
  <si>
    <t>lugia silver 2</t>
  </si>
  <si>
    <t>lunala purple</t>
  </si>
  <si>
    <t>machamp brown</t>
  </si>
  <si>
    <t>machop brown</t>
  </si>
  <si>
    <t>magikarp gold</t>
  </si>
  <si>
    <t>magmar red</t>
  </si>
  <si>
    <t>magmortar electrivire gold</t>
  </si>
  <si>
    <t>magmortar electrivire red</t>
  </si>
  <si>
    <t>magnemite silver</t>
  </si>
  <si>
    <t>magneton gold</t>
  </si>
  <si>
    <t>manaphy blue</t>
  </si>
  <si>
    <t>mankey gold</t>
  </si>
  <si>
    <t>melmetal silver</t>
  </si>
  <si>
    <t>meowth gold</t>
  </si>
  <si>
    <t>meowth silver</t>
  </si>
  <si>
    <t>metagross silver</t>
  </si>
  <si>
    <t>metapod green</t>
  </si>
  <si>
    <t>mew blue</t>
  </si>
  <si>
    <t>mew gold</t>
  </si>
  <si>
    <t>mew pink</t>
  </si>
  <si>
    <t>mew silver</t>
  </si>
  <si>
    <t>mewtwo gold</t>
  </si>
  <si>
    <t>mewtwo purple</t>
  </si>
  <si>
    <t>miraidon purple</t>
  </si>
  <si>
    <t>moltres red</t>
  </si>
  <si>
    <t>mrmime pink</t>
  </si>
  <si>
    <t>mudkip blue</t>
  </si>
  <si>
    <t>muk purple</t>
  </si>
  <si>
    <t>munchlax gold</t>
  </si>
  <si>
    <t>munchlax silver</t>
  </si>
  <si>
    <t>nidoking purple</t>
  </si>
  <si>
    <t>nidoqueen pink</t>
  </si>
  <si>
    <t>ninetales gold</t>
  </si>
  <si>
    <t>ninetales red</t>
  </si>
  <si>
    <t>ninetales silver</t>
  </si>
  <si>
    <t>oddish green</t>
  </si>
  <si>
    <t>omanyte blue</t>
  </si>
  <si>
    <t>omastar blue</t>
  </si>
  <si>
    <t>onix brown</t>
  </si>
  <si>
    <t>palkia pink 1</t>
  </si>
  <si>
    <t>palkia pink 3</t>
  </si>
  <si>
    <t>palkia silver</t>
  </si>
  <si>
    <t>paras green</t>
  </si>
  <si>
    <t>parasect green</t>
  </si>
  <si>
    <t>parasect red</t>
  </si>
  <si>
    <t>persian silver</t>
  </si>
  <si>
    <t>pichu gold</t>
  </si>
  <si>
    <t>pidgeotto silver</t>
  </si>
  <si>
    <t>pikachu bulbasaur silver</t>
  </si>
  <si>
    <t>pikachu charizard mewtwo silver</t>
  </si>
  <si>
    <t>pikachu gold</t>
  </si>
  <si>
    <t>pikachu gold 10</t>
  </si>
  <si>
    <t>pikachu gold 2</t>
  </si>
  <si>
    <t>pikachu gold 3</t>
  </si>
  <si>
    <t>pikachu gold 4</t>
  </si>
  <si>
    <t>pikachu gold 5</t>
  </si>
  <si>
    <t>pikachu gold 6</t>
  </si>
  <si>
    <t>pikachu gold 7</t>
  </si>
  <si>
    <t>pikachu gold 8</t>
  </si>
  <si>
    <t>pikachu gold 9</t>
  </si>
  <si>
    <t>pikachu silver</t>
  </si>
  <si>
    <t>pikachu silver 2</t>
  </si>
  <si>
    <t>pikachu silver 3</t>
  </si>
  <si>
    <t>pikachu snorlax silver</t>
  </si>
  <si>
    <t>pinsir brown</t>
  </si>
  <si>
    <t>piplup blue</t>
  </si>
  <si>
    <t>poliwag blue</t>
  </si>
  <si>
    <t>ponyta blue</t>
  </si>
  <si>
    <t>ponyta red</t>
  </si>
  <si>
    <t>popplio blue</t>
  </si>
  <si>
    <t>porygon pink</t>
  </si>
  <si>
    <t>primal groudon red</t>
  </si>
  <si>
    <t>primal kyogre blue</t>
  </si>
  <si>
    <t>primeape brown</t>
  </si>
  <si>
    <t>psyduck gold</t>
  </si>
  <si>
    <t>raichu gold</t>
  </si>
  <si>
    <t>raichu gold 2</t>
  </si>
  <si>
    <t>raichu gold 3</t>
  </si>
  <si>
    <t>raichu silver</t>
  </si>
  <si>
    <t>raikou gold</t>
  </si>
  <si>
    <t>raticate silver</t>
  </si>
  <si>
    <t>rattata silver</t>
  </si>
  <si>
    <t>rayquaza gold</t>
  </si>
  <si>
    <t>rayquaza green</t>
  </si>
  <si>
    <t>rayquaza silver</t>
  </si>
  <si>
    <t>reshiram zekrom silver</t>
  </si>
  <si>
    <t>rhydon brown</t>
  </si>
  <si>
    <t>roaringbolt gold</t>
  </si>
  <si>
    <t>roaringbolt silver</t>
  </si>
  <si>
    <t>roaringmoon silver</t>
  </si>
  <si>
    <t>rotom silver</t>
  </si>
  <si>
    <t>rowlett green</t>
  </si>
  <si>
    <t>sableye silver</t>
  </si>
  <si>
    <t>salamance blue</t>
  </si>
  <si>
    <t>salamance gold</t>
  </si>
  <si>
    <t>sandshrew brown</t>
  </si>
  <si>
    <t>sandslash brown</t>
  </si>
  <si>
    <t>sceptile green</t>
  </si>
  <si>
    <t>scorbunny red</t>
  </si>
  <si>
    <t>scream tail pink</t>
  </si>
  <si>
    <t>scyther green</t>
  </si>
  <si>
    <t>seadra blue</t>
  </si>
  <si>
    <t>sirfetchd green</t>
  </si>
  <si>
    <t>slowbro pink</t>
  </si>
  <si>
    <t>slowpoke pink</t>
  </si>
  <si>
    <t>slowpoke purple</t>
  </si>
  <si>
    <t>snom blue</t>
  </si>
  <si>
    <t>snorlax blue</t>
  </si>
  <si>
    <t>sobble blue</t>
  </si>
  <si>
    <t>solgaleo gold</t>
  </si>
  <si>
    <t>spearow red</t>
  </si>
  <si>
    <t>sprigatito silver</t>
  </si>
  <si>
    <t>squirtle blue</t>
  </si>
  <si>
    <t>squirtle blue 2</t>
  </si>
  <si>
    <t>squirtle gold</t>
  </si>
  <si>
    <t>starmie gold</t>
  </si>
  <si>
    <t>staryu blue</t>
  </si>
  <si>
    <t>steelix silver</t>
  </si>
  <si>
    <t>stunfisk gold</t>
  </si>
  <si>
    <t>suicune silver</t>
  </si>
  <si>
    <t>swampert blue</t>
  </si>
  <si>
    <t>sylveon pink</t>
  </si>
  <si>
    <t>sylveon pink 2</t>
  </si>
  <si>
    <t>tangela green</t>
  </si>
  <si>
    <t>tauros silver</t>
  </si>
  <si>
    <t>teamaqua blue</t>
  </si>
  <si>
    <t>teammagma red</t>
  </si>
  <si>
    <t>teamplasma blue</t>
  </si>
  <si>
    <t>teamplasma silver</t>
  </si>
  <si>
    <t>teamplasma silver 2</t>
  </si>
  <si>
    <t>teamrocket blue</t>
  </si>
  <si>
    <t>teamrocket red</t>
  </si>
  <si>
    <t>teamrocket silver</t>
  </si>
  <si>
    <t>tentacool blue</t>
  </si>
  <si>
    <t>tentacruel blue</t>
  </si>
  <si>
    <t>terapagos blue</t>
  </si>
  <si>
    <t>togepi cleffa igglybuff pink</t>
  </si>
  <si>
    <t>torchic red</t>
  </si>
  <si>
    <t>totodile blue</t>
  </si>
  <si>
    <t>treeko green</t>
  </si>
  <si>
    <t>treeko torchic mudkip gold</t>
  </si>
  <si>
    <t>treeko torchic mudkip silver</t>
  </si>
  <si>
    <t>turtwig green</t>
  </si>
  <si>
    <t>tyranitar blue</t>
  </si>
  <si>
    <t>tyranitar gold</t>
  </si>
  <si>
    <t>tyranitar silver</t>
  </si>
  <si>
    <t>umbreon black</t>
  </si>
  <si>
    <t>umbreon pink</t>
  </si>
  <si>
    <t>urshifu blue</t>
  </si>
  <si>
    <t>urshifu red</t>
  </si>
  <si>
    <t>vaporeon silver</t>
  </si>
  <si>
    <t>venomoth purple</t>
  </si>
  <si>
    <t>venonat purple</t>
  </si>
  <si>
    <t>venusaur gold</t>
  </si>
  <si>
    <t>venusaur green</t>
  </si>
  <si>
    <t>victreebell green</t>
  </si>
  <si>
    <t>vileplume green</t>
  </si>
  <si>
    <t>volcanion red</t>
  </si>
  <si>
    <t>voltorb gold</t>
  </si>
  <si>
    <t>voltorb red</t>
  </si>
  <si>
    <t>vulpix red</t>
  </si>
  <si>
    <t>wartortle blue</t>
  </si>
  <si>
    <t>weedle green</t>
  </si>
  <si>
    <t>weepinbell green</t>
  </si>
  <si>
    <t>weezing purple</t>
  </si>
  <si>
    <t>wigglytuff pink</t>
  </si>
  <si>
    <t>wooloo silver</t>
  </si>
  <si>
    <t>xerneas blue</t>
  </si>
  <si>
    <t>xerneas silver</t>
  </si>
  <si>
    <t>yampa gold</t>
  </si>
  <si>
    <t>yveltal red</t>
  </si>
  <si>
    <t>yveltal silver</t>
  </si>
  <si>
    <t>zapdos gold</t>
  </si>
  <si>
    <t>zapdos gold 2</t>
  </si>
  <si>
    <t>zoroark silver</t>
  </si>
  <si>
    <t>zubat blue</t>
  </si>
  <si>
    <t>zz absol black</t>
  </si>
  <si>
    <t>zz altaria blue</t>
  </si>
  <si>
    <t>zz arceus silver</t>
  </si>
  <si>
    <t>zz blastoise blue</t>
  </si>
  <si>
    <t>zz charizard black</t>
  </si>
  <si>
    <t>zz charizard red</t>
  </si>
  <si>
    <t>zz charizard red 2</t>
  </si>
  <si>
    <t>zz chimchar red</t>
  </si>
  <si>
    <t>zz darkrai black</t>
  </si>
  <si>
    <t>zz eevee brown</t>
  </si>
  <si>
    <t>zz espeon umbreon silver</t>
  </si>
  <si>
    <t>zz gardevoir green</t>
  </si>
  <si>
    <t>zz gardevoir purple</t>
  </si>
  <si>
    <t>zz gengar silver</t>
  </si>
  <si>
    <t>zz glaceon blue</t>
  </si>
  <si>
    <t>zz goomy purple</t>
  </si>
  <si>
    <t>zz greninja blue</t>
  </si>
  <si>
    <t>zz gyarados blue</t>
  </si>
  <si>
    <t>zz hooh lugia gold</t>
  </si>
  <si>
    <t>zz lucario blue</t>
  </si>
  <si>
    <t>zz mewtwo green</t>
  </si>
  <si>
    <t>zz mewtwo purple</t>
  </si>
  <si>
    <t>zz mewtwo purple 2</t>
  </si>
  <si>
    <t>zz mewtwo purple 3</t>
  </si>
  <si>
    <t>zz mimikyu gold</t>
  </si>
  <si>
    <t>zz necrozma gold</t>
  </si>
  <si>
    <t>zz pichu gold</t>
  </si>
  <si>
    <t>zz pikachu gold</t>
  </si>
  <si>
    <t>zz psyduck gold</t>
  </si>
  <si>
    <t>zz quagsire blue</t>
  </si>
  <si>
    <t>zz silvally silver</t>
  </si>
  <si>
    <t>zz sprigatito green</t>
  </si>
  <si>
    <t>zz suicune blue</t>
  </si>
  <si>
    <t>zz sylveon pink</t>
  </si>
  <si>
    <t>zz toedscool red</t>
  </si>
  <si>
    <t>zz toxtricity purple</t>
  </si>
  <si>
    <t>zz tyranitar green</t>
  </si>
  <si>
    <t>zz venusaur green</t>
  </si>
  <si>
    <t>zz vulpix blue</t>
  </si>
  <si>
    <t>zz zoroark black</t>
  </si>
  <si>
    <t>zzz pokeball gold</t>
  </si>
  <si>
    <t>zzz pokeball red</t>
  </si>
  <si>
    <t>zzz pokeball silver</t>
  </si>
  <si>
    <t>zzzz acerola purple</t>
  </si>
  <si>
    <t>zzzz cynthia gold</t>
  </si>
  <si>
    <t>zzzz erika purple</t>
  </si>
  <si>
    <t>zzzz iono gold</t>
  </si>
  <si>
    <t>zzzz lillie purple</t>
  </si>
  <si>
    <t>zzzz lillie purple 2</t>
  </si>
  <si>
    <t>zzzz may red</t>
  </si>
  <si>
    <t>zzzz oak silver</t>
  </si>
  <si>
    <t>zzzz serena red</t>
  </si>
  <si>
    <t>zzzz trainerred red</t>
  </si>
  <si>
    <t>Rattata Silver</t>
  </si>
  <si>
    <t>Farfetchd Silver</t>
  </si>
  <si>
    <t>Drowzee Gold</t>
  </si>
  <si>
    <t>Magikarp Gold</t>
  </si>
  <si>
    <t>Squirtle Blue</t>
  </si>
  <si>
    <t>Voltorb Gold</t>
  </si>
  <si>
    <t>Bulbasaur Green 2</t>
  </si>
  <si>
    <t>Eevee Silver</t>
  </si>
  <si>
    <t>Poliwag Blue</t>
  </si>
  <si>
    <t>Diglett Brown</t>
  </si>
  <si>
    <t>Pikachu Gold</t>
  </si>
  <si>
    <t>pikachu gold 11</t>
  </si>
  <si>
    <t>Pidgeotto Silver</t>
  </si>
  <si>
    <t>Caterpie Green</t>
  </si>
  <si>
    <t>Tentacool Blue</t>
  </si>
  <si>
    <t>Mankey Gold</t>
  </si>
  <si>
    <t>Dewgong Blue</t>
  </si>
  <si>
    <t>Doduo Brown</t>
  </si>
  <si>
    <t>Pinsir Brown</t>
  </si>
  <si>
    <t>Gyarados Blue</t>
  </si>
  <si>
    <t>Magmar Red</t>
  </si>
  <si>
    <t>Ponyta Red</t>
  </si>
  <si>
    <t>Dratini Blue</t>
  </si>
  <si>
    <t>Clefairy Pink</t>
  </si>
  <si>
    <t>Butterfree Purple</t>
  </si>
  <si>
    <t>Beedrill Green</t>
  </si>
  <si>
    <t>Magnemite Silver</t>
  </si>
  <si>
    <t>Raichu Gold</t>
  </si>
  <si>
    <t>Raichu Gold 2</t>
  </si>
  <si>
    <t>Nidoking Purple</t>
  </si>
  <si>
    <t>Venusaur Green</t>
  </si>
  <si>
    <t>Wartortle Blue</t>
  </si>
  <si>
    <t>Hitmonchan Silver</t>
  </si>
  <si>
    <t>Blastoise Blue</t>
  </si>
  <si>
    <t>Wigglytuff Pink</t>
  </si>
  <si>
    <t>Dugtrio Brown</t>
  </si>
  <si>
    <t>Mewtwo Purple</t>
  </si>
  <si>
    <t>Bellsprout Green</t>
  </si>
  <si>
    <t>Tauros Silver</t>
  </si>
  <si>
    <t>Muk Purple</t>
  </si>
  <si>
    <t>Weezing Purple</t>
  </si>
  <si>
    <t>Team Rocket Red</t>
  </si>
  <si>
    <t>Team Rocket Blue</t>
  </si>
  <si>
    <t>Pikachu Gold 2</t>
  </si>
  <si>
    <t>Pikachu Gold 3</t>
  </si>
  <si>
    <t>Pikachu Gold 4</t>
  </si>
  <si>
    <t>Pikachu Gold 5</t>
  </si>
  <si>
    <t>Pikachu Gold 6</t>
  </si>
  <si>
    <t>Pikachu Gold 7</t>
  </si>
  <si>
    <t>Aerodactyl Brown</t>
  </si>
  <si>
    <t>Kangaskhan Silver</t>
  </si>
  <si>
    <t>Ekans Purple</t>
  </si>
  <si>
    <t>Paras Green</t>
  </si>
  <si>
    <t>Charizard Red</t>
  </si>
  <si>
    <t>Charmeleon Red</t>
  </si>
  <si>
    <t>Blastoise Blue 2</t>
  </si>
  <si>
    <t>Kakuna Gold</t>
  </si>
  <si>
    <t>Geodude Gold</t>
  </si>
  <si>
    <t>Grimer Purple</t>
  </si>
  <si>
    <t>Omanyte Blue</t>
  </si>
  <si>
    <t>Gloom Green</t>
  </si>
  <si>
    <t>Alakazam Purple</t>
  </si>
  <si>
    <t>Ivysaur Green</t>
  </si>
  <si>
    <t>Electrode Gold</t>
  </si>
  <si>
    <t>Magneton Gold</t>
  </si>
  <si>
    <t>Primeape Brown</t>
  </si>
  <si>
    <t>Kingler Blue</t>
  </si>
  <si>
    <t>Cubone Brown</t>
  </si>
  <si>
    <t>Slowbro Pink</t>
  </si>
  <si>
    <t>Venomoth Purple</t>
  </si>
  <si>
    <t>Dragonite Gold</t>
  </si>
  <si>
    <t>Arbok Purple</t>
  </si>
  <si>
    <t>Blastoise Silver</t>
  </si>
  <si>
    <t>Eevee Gold</t>
  </si>
  <si>
    <t>Zz Mewtwo Purple 3</t>
  </si>
  <si>
    <t>Lapras Blue</t>
  </si>
  <si>
    <t>Golduck Blue</t>
  </si>
  <si>
    <t>Machamp Brown</t>
  </si>
  <si>
    <t>Electrode Silver</t>
  </si>
  <si>
    <t>Jolteon Silver</t>
  </si>
  <si>
    <t>Charizard Red 2</t>
  </si>
  <si>
    <t>Gengar Purple</t>
  </si>
  <si>
    <t>Gyarados Red</t>
  </si>
  <si>
    <t>Machop Brown</t>
  </si>
  <si>
    <t>Golbat Gold</t>
  </si>
  <si>
    <t>Hypno Gold</t>
  </si>
  <si>
    <t>New opponents added</t>
  </si>
  <si>
    <t>Total opponents available at this time</t>
  </si>
  <si>
    <t>Total amount of  new opponents added all day</t>
  </si>
  <si>
    <t>Total opponents across game</t>
  </si>
  <si>
    <t>CELESTE 
HARBOUR</t>
  </si>
  <si>
    <t>VERDANT
FOREST</t>
  </si>
  <si>
    <t>Total amount of new opponents added this area</t>
  </si>
  <si>
    <t>Day 6</t>
  </si>
  <si>
    <t>Eve 6</t>
  </si>
  <si>
    <t>Night 6</t>
  </si>
  <si>
    <t>VERDANT FOREST</t>
  </si>
  <si>
    <t>✔️</t>
  </si>
  <si>
    <t>Day 7</t>
  </si>
  <si>
    <t>Eve 7</t>
  </si>
  <si>
    <t>Night 7</t>
  </si>
  <si>
    <t>Tourist Edmund</t>
  </si>
  <si>
    <t>Tourist Alissa</t>
  </si>
  <si>
    <t>Ex Gym Leader Brock</t>
  </si>
  <si>
    <t>Ex Gym Leader Misty</t>
  </si>
  <si>
    <t>Ex Gym Leader Erika</t>
  </si>
  <si>
    <t>Ex Gym Leader Koga</t>
  </si>
  <si>
    <t>Ex Gym Leader Sabrina</t>
  </si>
  <si>
    <t>Ex Gym Leader Blaine</t>
  </si>
  <si>
    <t>Ex Gym Leader Giovanni</t>
  </si>
  <si>
    <t>Gym Hero Brock</t>
  </si>
  <si>
    <t>Gym Hero Misty</t>
  </si>
  <si>
    <t>Gym Hero Lt. Surge</t>
  </si>
  <si>
    <t>Ex Gym Leader Lt. Surge</t>
  </si>
  <si>
    <t>Gym Hero Erika</t>
  </si>
  <si>
    <t>Gym Hero Koga</t>
  </si>
  <si>
    <t>Gym Hero Sabrina</t>
  </si>
  <si>
    <t>Gym Hero Blaine</t>
  </si>
  <si>
    <t>Gym Hero Giovanni</t>
  </si>
  <si>
    <t>Brock</t>
  </si>
  <si>
    <t>Misty</t>
  </si>
  <si>
    <t>Lt. Surge</t>
  </si>
  <si>
    <t>Erika</t>
  </si>
  <si>
    <t>Koga</t>
  </si>
  <si>
    <t>Sabrina</t>
  </si>
  <si>
    <t>Blaine</t>
  </si>
  <si>
    <t>Giovanni</t>
  </si>
  <si>
    <t>Pewter Compassion</t>
  </si>
  <si>
    <t>Pewter Crusher</t>
  </si>
  <si>
    <t>Misty's Wrath</t>
  </si>
  <si>
    <t>Dragon Rage</t>
  </si>
  <si>
    <t>Cold Water Warmup</t>
  </si>
  <si>
    <t>Static Charge</t>
  </si>
  <si>
    <t>Power Surge</t>
  </si>
  <si>
    <t>Life Draining Pollen</t>
  </si>
  <si>
    <t>Sunbathing</t>
  </si>
  <si>
    <t>Ninja Ambush</t>
  </si>
  <si>
    <t>Koga's Ninja Poison</t>
  </si>
  <si>
    <t>Psychic Uplink</t>
  </si>
  <si>
    <t>Mixed Aura</t>
  </si>
  <si>
    <t>Incinerator</t>
  </si>
  <si>
    <t>Stoke The Flames</t>
  </si>
  <si>
    <t>Burning Slot Machine</t>
  </si>
  <si>
    <t>The Might Of The Boss</t>
  </si>
  <si>
    <t>Kings And Queens</t>
  </si>
  <si>
    <t>Zz Mewtwo Purple</t>
  </si>
  <si>
    <t>Zz Charizard Red</t>
  </si>
  <si>
    <t>ZZ Gengar Silver</t>
  </si>
  <si>
    <t>Zz Espeon Umbreon Silver</t>
  </si>
  <si>
    <t>Zz Venusaur Green</t>
  </si>
  <si>
    <t>Zz Pikachu Gold</t>
  </si>
  <si>
    <t>Zz Blastoise Blue</t>
  </si>
  <si>
    <t>Zz Eevee Brown</t>
  </si>
  <si>
    <t>Energy Fighting Brown</t>
  </si>
  <si>
    <t>Energy Water Blue</t>
  </si>
  <si>
    <t>Energy Lightning Gold</t>
  </si>
  <si>
    <t>Energy Grass Green</t>
  </si>
  <si>
    <t>Energy Psychic Purple</t>
  </si>
  <si>
    <t>Energy Fire Red</t>
  </si>
  <si>
    <t>Energy Colorless Silver</t>
  </si>
  <si>
    <t>Energy Darkness Black</t>
  </si>
  <si>
    <t>Energy Fighting Brown 2</t>
  </si>
  <si>
    <t>Energy Water Blue 2</t>
  </si>
  <si>
    <t>Energy Lightning Gold 2</t>
  </si>
  <si>
    <t>Energy Grass Green 2</t>
  </si>
  <si>
    <t>Energy Colorless Silver 2</t>
  </si>
  <si>
    <t>Energy Psychic Purple 2</t>
  </si>
  <si>
    <t>Energy Fire Red 2</t>
  </si>
  <si>
    <t>Energy Darkness Black 2</t>
  </si>
  <si>
    <t xml:space="preserve">Night 3 </t>
  </si>
  <si>
    <t>GYM PLAZA / HALL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</si>
</sst>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7DA2"/>
        <bgColor indexed="64"/>
      </patternFill>
    </fill>
    <fill>
      <patternFill patternType="solid">
        <fgColor rgb="FF2D55FF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6600CC"/>
        <bgColor indexed="64"/>
      </patternFill>
    </fill>
    <fill>
      <patternFill patternType="solid">
        <fgColor rgb="FF3FBFFF"/>
        <bgColor indexed="64"/>
      </patternFill>
    </fill>
    <fill>
      <patternFill patternType="solid">
        <fgColor rgb="FFFFC901"/>
        <bgColor indexed="64"/>
      </patternFill>
    </fill>
    <fill>
      <patternFill patternType="solid">
        <fgColor rgb="FFC600EE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BFFFF"/>
        <bgColor indexed="64"/>
      </patternFill>
    </fill>
    <fill>
      <patternFill patternType="solid">
        <fgColor rgb="FFD9FFFF"/>
        <bgColor indexed="64"/>
      </patternFill>
    </fill>
    <fill>
      <patternFill patternType="solid">
        <fgColor rgb="FFC5FFDC"/>
        <bgColor indexed="64"/>
      </patternFill>
    </fill>
    <fill>
      <patternFill patternType="solid">
        <fgColor rgb="FFA7FFB6"/>
        <bgColor indexed="64"/>
      </patternFill>
    </fill>
    <fill>
      <patternFill patternType="solid">
        <fgColor rgb="FF8BFF9E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A75FF"/>
        <bgColor indexed="64"/>
      </patternFill>
    </fill>
    <fill>
      <patternFill patternType="solid">
        <fgColor rgb="FFE1F6FF"/>
        <bgColor indexed="64"/>
      </patternFill>
    </fill>
    <fill>
      <patternFill patternType="solid">
        <fgColor rgb="FFFFF9E5"/>
        <bgColor indexed="64"/>
      </patternFill>
    </fill>
    <fill>
      <patternFill patternType="solid">
        <fgColor rgb="FFFCE7FD"/>
        <bgColor indexed="64"/>
      </patternFill>
    </fill>
    <fill>
      <patternFill patternType="solid">
        <fgColor rgb="FFB9E9FF"/>
        <bgColor indexed="64"/>
      </patternFill>
    </fill>
    <fill>
      <patternFill patternType="solid">
        <fgColor rgb="FFFFEBAB"/>
        <bgColor indexed="64"/>
      </patternFill>
    </fill>
    <fill>
      <patternFill patternType="solid">
        <fgColor rgb="FFF7C2FA"/>
        <bgColor indexed="64"/>
      </patternFill>
    </fill>
    <fill>
      <patternFill patternType="solid">
        <fgColor rgb="FF9FE1FF"/>
        <bgColor indexed="64"/>
      </patternFill>
    </fill>
    <fill>
      <patternFill patternType="solid">
        <fgColor rgb="FFFFE48F"/>
        <bgColor indexed="64"/>
      </patternFill>
    </fill>
    <fill>
      <patternFill patternType="solid">
        <fgColor rgb="FFC9E5FF"/>
        <bgColor indexed="64"/>
      </patternFill>
    </fill>
    <fill>
      <patternFill patternType="solid">
        <fgColor rgb="FFFEE7B8"/>
        <bgColor indexed="64"/>
      </patternFill>
    </fill>
    <fill>
      <patternFill patternType="solid">
        <fgColor rgb="FFF8BFF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right"/>
    </xf>
    <xf numFmtId="0" fontId="2" fillId="9" borderId="0" xfId="0" applyFont="1" applyFill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18" borderId="0" xfId="0" applyFont="1" applyFill="1" applyAlignment="1">
      <alignment vertical="center" textRotation="90"/>
    </xf>
    <xf numFmtId="0" fontId="1" fillId="19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3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6" borderId="0" xfId="0" applyFill="1" applyAlignment="1">
      <alignment horizontal="center" vertical="center"/>
    </xf>
    <xf numFmtId="0" fontId="0" fillId="24" borderId="0" xfId="0" applyFill="1" applyAlignment="1">
      <alignment horizontal="center" vertical="center"/>
    </xf>
    <xf numFmtId="0" fontId="0" fillId="25" borderId="0" xfId="0" applyFill="1" applyAlignment="1">
      <alignment horizontal="center" vertical="center"/>
    </xf>
    <xf numFmtId="0" fontId="0" fillId="27" borderId="0" xfId="0" applyFill="1" applyAlignment="1">
      <alignment horizontal="center" vertical="center"/>
    </xf>
    <xf numFmtId="0" fontId="0" fillId="28" borderId="0" xfId="0" applyFill="1" applyAlignment="1">
      <alignment horizontal="center" vertical="center"/>
    </xf>
    <xf numFmtId="0" fontId="0" fillId="29" borderId="0" xfId="0" applyFill="1" applyAlignment="1">
      <alignment horizontal="center" vertical="center"/>
    </xf>
    <xf numFmtId="0" fontId="0" fillId="30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32" borderId="0" xfId="0" applyFill="1" applyAlignment="1">
      <alignment horizontal="center" vertical="center"/>
    </xf>
    <xf numFmtId="0" fontId="1" fillId="10" borderId="0" xfId="0" applyFont="1" applyFill="1" applyAlignment="1">
      <alignment horizontal="right"/>
    </xf>
    <xf numFmtId="0" fontId="1" fillId="11" borderId="0" xfId="0" applyFont="1" applyFill="1" applyAlignment="1">
      <alignment horizontal="right"/>
    </xf>
    <xf numFmtId="0" fontId="1" fillId="14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/>
    </xf>
    <xf numFmtId="0" fontId="1" fillId="10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/>
    </xf>
    <xf numFmtId="0" fontId="1" fillId="15" borderId="0" xfId="0" applyFont="1" applyFill="1" applyAlignment="1">
      <alignment horizontal="center" vertical="center"/>
    </xf>
    <xf numFmtId="0" fontId="1" fillId="0" borderId="0" xfId="0" applyFont="1" applyAlignment="1">
      <alignment horizontal="right"/>
    </xf>
    <xf numFmtId="0" fontId="1" fillId="10" borderId="0" xfId="0" applyFont="1" applyFill="1" applyAlignment="1">
      <alignment horizontal="right" vertical="center" wrapText="1"/>
    </xf>
    <xf numFmtId="0" fontId="1" fillId="10" borderId="0" xfId="0" applyFont="1" applyFill="1" applyAlignment="1">
      <alignment horizontal="right" vertical="center"/>
    </xf>
    <xf numFmtId="0" fontId="1" fillId="11" borderId="0" xfId="0" applyFont="1" applyFill="1" applyAlignment="1">
      <alignment horizontal="right" vertical="center" wrapText="1"/>
    </xf>
    <xf numFmtId="0" fontId="1" fillId="11" borderId="0" xfId="0" applyFont="1" applyFill="1" applyAlignment="1">
      <alignment horizontal="right" vertical="center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3" borderId="0" xfId="0" applyFont="1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1" fillId="11" borderId="0" xfId="0" applyFont="1" applyFill="1" applyAlignment="1">
      <alignment horizontal="center" vertical="center" textRotation="90"/>
    </xf>
    <xf numFmtId="0" fontId="1" fillId="31" borderId="0" xfId="0" applyFont="1" applyFill="1" applyAlignment="1">
      <alignment horizontal="center" vertical="center" textRotation="90"/>
    </xf>
    <xf numFmtId="0" fontId="1" fillId="20" borderId="0" xfId="0" applyFont="1" applyFill="1" applyBorder="1" applyAlignment="1">
      <alignment horizontal="center" vertical="center"/>
    </xf>
    <xf numFmtId="0" fontId="1" fillId="21" borderId="0" xfId="0" applyFont="1" applyFill="1" applyBorder="1" applyAlignment="1">
      <alignment horizontal="center" vertical="center"/>
    </xf>
    <xf numFmtId="0" fontId="1" fillId="22" borderId="0" xfId="0" applyFont="1" applyFill="1" applyBorder="1" applyAlignment="1">
      <alignment horizontal="center" vertical="center"/>
    </xf>
    <xf numFmtId="0" fontId="1" fillId="28" borderId="0" xfId="0" applyFont="1" applyFill="1" applyBorder="1" applyAlignment="1">
      <alignment horizontal="center" vertical="center"/>
    </xf>
    <xf numFmtId="0" fontId="1" fillId="29" borderId="0" xfId="0" applyFont="1" applyFill="1" applyBorder="1" applyAlignment="1">
      <alignment horizontal="center" vertical="center"/>
    </xf>
    <xf numFmtId="0" fontId="1" fillId="30" borderId="0" xfId="0" applyFont="1" applyFill="1" applyBorder="1" applyAlignment="1">
      <alignment horizontal="center" vertical="center"/>
    </xf>
    <xf numFmtId="0" fontId="1" fillId="23" borderId="0" xfId="0" applyFont="1" applyFill="1" applyBorder="1" applyAlignment="1">
      <alignment horizontal="center" vertical="center"/>
    </xf>
    <xf numFmtId="0" fontId="1" fillId="24" borderId="0" xfId="0" applyFont="1" applyFill="1" applyBorder="1" applyAlignment="1">
      <alignment horizontal="center" vertical="center"/>
    </xf>
    <xf numFmtId="0" fontId="1" fillId="25" borderId="0" xfId="0" applyFont="1" applyFill="1" applyBorder="1" applyAlignment="1">
      <alignment horizontal="center" vertical="center"/>
    </xf>
    <xf numFmtId="0" fontId="1" fillId="26" borderId="0" xfId="0" applyFont="1" applyFill="1" applyBorder="1" applyAlignment="1">
      <alignment horizontal="center" vertical="center"/>
    </xf>
    <xf numFmtId="0" fontId="1" fillId="27" borderId="0" xfId="0" applyFont="1" applyFill="1" applyBorder="1" applyAlignment="1">
      <alignment horizontal="center" vertical="center"/>
    </xf>
    <xf numFmtId="0" fontId="1" fillId="19" borderId="0" xfId="0" applyFont="1" applyFill="1" applyBorder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1" fillId="4" borderId="0" xfId="0" applyFont="1" applyFill="1" applyBorder="1" applyAlignment="1">
      <alignment horizontal="center" vertical="center"/>
    </xf>
    <xf numFmtId="0" fontId="1" fillId="5" borderId="0" xfId="0" applyFont="1" applyFill="1" applyBorder="1" applyAlignment="1">
      <alignment horizontal="center" vertical="center"/>
    </xf>
    <xf numFmtId="0" fontId="1" fillId="6" borderId="0" xfId="0" applyFont="1" applyFill="1" applyBorder="1" applyAlignment="1">
      <alignment horizontal="center" vertical="center"/>
    </xf>
    <xf numFmtId="0" fontId="1" fillId="7" borderId="0" xfId="0" applyFont="1" applyFill="1" applyBorder="1" applyAlignment="1">
      <alignment horizontal="center" vertical="center"/>
    </xf>
    <xf numFmtId="0" fontId="1" fillId="8" borderId="0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20" borderId="2" xfId="0" applyFont="1" applyFill="1" applyBorder="1" applyAlignment="1">
      <alignment horizontal="center" vertical="center"/>
    </xf>
    <xf numFmtId="0" fontId="4" fillId="21" borderId="2" xfId="0" applyFont="1" applyFill="1" applyBorder="1" applyAlignment="1">
      <alignment horizontal="center" vertical="center"/>
    </xf>
    <xf numFmtId="0" fontId="4" fillId="22" borderId="2" xfId="0" applyFont="1" applyFill="1" applyBorder="1" applyAlignment="1">
      <alignment horizontal="center" vertical="center"/>
    </xf>
    <xf numFmtId="0" fontId="4" fillId="28" borderId="2" xfId="0" applyFont="1" applyFill="1" applyBorder="1" applyAlignment="1">
      <alignment horizontal="center" vertical="center"/>
    </xf>
    <xf numFmtId="0" fontId="4" fillId="29" borderId="2" xfId="0" applyFont="1" applyFill="1" applyBorder="1" applyAlignment="1">
      <alignment horizontal="center" vertical="center"/>
    </xf>
    <xf numFmtId="0" fontId="4" fillId="30" borderId="2" xfId="0" applyFont="1" applyFill="1" applyBorder="1" applyAlignment="1">
      <alignment horizontal="center" vertical="center"/>
    </xf>
    <xf numFmtId="0" fontId="4" fillId="23" borderId="2" xfId="0" applyFont="1" applyFill="1" applyBorder="1" applyAlignment="1">
      <alignment horizontal="center" vertical="center"/>
    </xf>
    <xf numFmtId="0" fontId="4" fillId="24" borderId="2" xfId="0" applyFont="1" applyFill="1" applyBorder="1" applyAlignment="1">
      <alignment horizontal="center" vertical="center"/>
    </xf>
    <xf numFmtId="0" fontId="4" fillId="25" borderId="2" xfId="0" applyFont="1" applyFill="1" applyBorder="1" applyAlignment="1">
      <alignment horizontal="center" vertical="center"/>
    </xf>
    <xf numFmtId="0" fontId="4" fillId="26" borderId="2" xfId="0" applyFont="1" applyFill="1" applyBorder="1" applyAlignment="1">
      <alignment horizontal="center" vertical="center"/>
    </xf>
    <xf numFmtId="0" fontId="4" fillId="27" borderId="2" xfId="0" applyFont="1" applyFill="1" applyBorder="1" applyAlignment="1">
      <alignment horizontal="center" vertical="center"/>
    </xf>
    <xf numFmtId="0" fontId="4" fillId="19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F9D1FB"/>
      <color rgb="FFF8BFF9"/>
      <color rgb="FFFEE7B8"/>
      <color rgb="FFC9E5FF"/>
      <color rgb="FFC9EEFF"/>
      <color rgb="FFFFE48F"/>
      <color rgb="FFFFEBAB"/>
      <color rgb="FF9FE1FF"/>
      <color rgb="FFB9E9FF"/>
      <color rgb="FFF7C2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F4864-149E-47D7-9885-01C74520501E}" name="Table1" displayName="Table1" ref="A1:B419" totalsRowShown="0" headerRowDxfId="1">
  <autoFilter ref="A1:B419" xr:uid="{00000000-0009-0000-0100-000001000000}"/>
  <sortState xmlns:xlrd2="http://schemas.microsoft.com/office/spreadsheetml/2017/richdata2" ref="A2:B184">
    <sortCondition ref="B1:B184"/>
  </sortState>
  <tableColumns count="2">
    <tableColumn id="1" xr3:uid="{00000000-0010-0000-0000-000001000000}" name="Coin"/>
    <tableColumn id="2" xr3:uid="{00000000-0010-0000-0000-000002000000}" name="Granted By" dataDxfId="0">
      <calculatedColumnFormula>_xlfn.XLOOKUP(A2, opponents_table!D:D, opponents_table!B:B, "", 0)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3"/>
  <sheetViews>
    <sheetView tabSelected="1" zoomScale="85" zoomScaleNormal="85" workbookViewId="0">
      <pane xSplit="2" ySplit="2" topLeftCell="C15" activePane="bottomRight" state="frozen"/>
      <selection pane="topRight" activeCell="C1" sqref="C1"/>
      <selection pane="bottomLeft" activeCell="A3" sqref="A3"/>
      <selection pane="bottomRight" activeCell="O24" sqref="O24"/>
    </sheetView>
  </sheetViews>
  <sheetFormatPr defaultRowHeight="15" x14ac:dyDescent="0.25"/>
  <cols>
    <col min="1" max="1" width="4.7109375" customWidth="1"/>
    <col min="2" max="2" width="23.85546875" bestFit="1" customWidth="1"/>
    <col min="3" max="3" width="25.5703125" customWidth="1"/>
    <col min="4" max="4" width="23.42578125" customWidth="1"/>
    <col min="5" max="10" width="7.7109375" style="1" customWidth="1"/>
  </cols>
  <sheetData>
    <row r="1" spans="1:25" ht="15.75" x14ac:dyDescent="0.25">
      <c r="E1" s="70" t="s">
        <v>121</v>
      </c>
      <c r="F1" s="70"/>
      <c r="G1" s="70"/>
      <c r="H1" s="70" t="s">
        <v>121</v>
      </c>
      <c r="I1" s="70"/>
      <c r="J1" s="70"/>
      <c r="K1" s="70" t="s">
        <v>121</v>
      </c>
      <c r="L1" s="70"/>
      <c r="M1" s="70"/>
      <c r="N1" s="70" t="s">
        <v>121</v>
      </c>
      <c r="O1" s="70"/>
      <c r="P1" s="70"/>
      <c r="Q1" s="70" t="s">
        <v>702</v>
      </c>
      <c r="R1" s="70"/>
      <c r="S1" s="70"/>
      <c r="T1" s="70" t="s">
        <v>702</v>
      </c>
      <c r="U1" s="70"/>
      <c r="V1" s="70"/>
      <c r="W1" s="70" t="s">
        <v>702</v>
      </c>
      <c r="X1" s="70"/>
      <c r="Y1" s="70"/>
    </row>
    <row r="2" spans="1:25" ht="16.5" customHeight="1" thickBot="1" x14ac:dyDescent="0.3">
      <c r="E2" s="71" t="s">
        <v>1</v>
      </c>
      <c r="F2" s="72" t="s">
        <v>2</v>
      </c>
      <c r="G2" s="73" t="s">
        <v>3</v>
      </c>
      <c r="H2" s="74" t="s">
        <v>4</v>
      </c>
      <c r="I2" s="75" t="s">
        <v>5</v>
      </c>
      <c r="J2" s="76" t="s">
        <v>6</v>
      </c>
      <c r="K2" s="77" t="s">
        <v>89</v>
      </c>
      <c r="L2" s="78" t="s">
        <v>90</v>
      </c>
      <c r="M2" s="79" t="s">
        <v>775</v>
      </c>
      <c r="N2" s="80" t="s">
        <v>118</v>
      </c>
      <c r="O2" s="81" t="s">
        <v>119</v>
      </c>
      <c r="P2" s="82" t="s">
        <v>120</v>
      </c>
      <c r="Q2" s="83" t="s">
        <v>150</v>
      </c>
      <c r="R2" s="84" t="s">
        <v>151</v>
      </c>
      <c r="S2" s="85" t="s">
        <v>152</v>
      </c>
      <c r="T2" s="86" t="s">
        <v>699</v>
      </c>
      <c r="U2" s="87" t="s">
        <v>700</v>
      </c>
      <c r="V2" s="88" t="s">
        <v>701</v>
      </c>
      <c r="W2" s="86" t="s">
        <v>704</v>
      </c>
      <c r="X2" s="87" t="s">
        <v>705</v>
      </c>
      <c r="Y2" s="88" t="s">
        <v>706</v>
      </c>
    </row>
    <row r="3" spans="1:25" ht="16.5" customHeight="1" x14ac:dyDescent="0.25">
      <c r="B3" s="41" t="s">
        <v>696</v>
      </c>
      <c r="C3" s="33" t="s">
        <v>692</v>
      </c>
      <c r="D3" s="33"/>
      <c r="E3" s="52">
        <f>COUNTIF(E11:E400,"✅")</f>
        <v>4</v>
      </c>
      <c r="F3" s="53">
        <f t="shared" ref="F3:P3" si="0">COUNTIF(F11:F400,"✅")</f>
        <v>4</v>
      </c>
      <c r="G3" s="54">
        <f t="shared" si="0"/>
        <v>0</v>
      </c>
      <c r="H3" s="55">
        <f t="shared" si="0"/>
        <v>6</v>
      </c>
      <c r="I3" s="56">
        <f t="shared" si="0"/>
        <v>4</v>
      </c>
      <c r="J3" s="57">
        <f t="shared" si="0"/>
        <v>3</v>
      </c>
      <c r="K3" s="58">
        <f t="shared" si="0"/>
        <v>5</v>
      </c>
      <c r="L3" s="59">
        <f t="shared" si="0"/>
        <v>5</v>
      </c>
      <c r="M3" s="60">
        <f t="shared" si="0"/>
        <v>3</v>
      </c>
      <c r="N3" s="61">
        <f t="shared" si="0"/>
        <v>7</v>
      </c>
      <c r="O3" s="62">
        <f t="shared" si="0"/>
        <v>1</v>
      </c>
      <c r="P3" s="63">
        <f t="shared" si="0"/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</row>
    <row r="4" spans="1:25" ht="16.5" customHeight="1" x14ac:dyDescent="0.25">
      <c r="B4" s="42"/>
      <c r="C4" s="33" t="s">
        <v>693</v>
      </c>
      <c r="D4" s="33"/>
      <c r="E4" s="52">
        <f>COUNTIF(E11:E400,"✅")+COUNTIF(E11:E400,"✔️")</f>
        <v>4</v>
      </c>
      <c r="F4" s="53">
        <f t="shared" ref="F4:P4" si="1">COUNTIF(F11:F400,"✅")+COUNTIF(F11:F400,"✔️")</f>
        <v>8</v>
      </c>
      <c r="G4" s="54">
        <f t="shared" si="1"/>
        <v>4</v>
      </c>
      <c r="H4" s="55">
        <f t="shared" si="1"/>
        <v>8</v>
      </c>
      <c r="I4" s="56">
        <f t="shared" si="1"/>
        <v>10</v>
      </c>
      <c r="J4" s="57">
        <f t="shared" si="1"/>
        <v>7</v>
      </c>
      <c r="K4" s="58">
        <f t="shared" si="1"/>
        <v>13</v>
      </c>
      <c r="L4" s="59">
        <f t="shared" si="1"/>
        <v>11</v>
      </c>
      <c r="M4" s="60">
        <f t="shared" si="1"/>
        <v>10</v>
      </c>
      <c r="N4" s="61">
        <f t="shared" si="1"/>
        <v>19</v>
      </c>
      <c r="O4" s="62">
        <f t="shared" si="1"/>
        <v>15</v>
      </c>
      <c r="P4" s="63">
        <f t="shared" si="1"/>
        <v>8</v>
      </c>
      <c r="Q4" s="64">
        <f t="shared" ref="Q4:Y4" si="2">COUNTIF(Q11:Q400,"✅")+COUNTIF(Q11:Q400,"✔️")</f>
        <v>27</v>
      </c>
      <c r="R4" s="65">
        <f t="shared" si="2"/>
        <v>27</v>
      </c>
      <c r="S4" s="66">
        <f t="shared" si="2"/>
        <v>26</v>
      </c>
      <c r="T4" s="67">
        <f t="shared" si="2"/>
        <v>19</v>
      </c>
      <c r="U4" s="68">
        <f t="shared" si="2"/>
        <v>11</v>
      </c>
      <c r="V4" s="69">
        <f t="shared" si="2"/>
        <v>11</v>
      </c>
      <c r="W4" s="67">
        <f t="shared" si="2"/>
        <v>0</v>
      </c>
      <c r="X4" s="68">
        <f t="shared" si="2"/>
        <v>0</v>
      </c>
      <c r="Y4" s="69">
        <f t="shared" si="2"/>
        <v>0</v>
      </c>
    </row>
    <row r="5" spans="1:25" ht="4.5" customHeight="1" x14ac:dyDescent="0.25">
      <c r="B5" s="5"/>
      <c r="C5" s="3"/>
      <c r="D5" s="3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</row>
    <row r="6" spans="1:25" ht="16.5" customHeight="1" x14ac:dyDescent="0.25">
      <c r="B6" s="43" t="s">
        <v>697</v>
      </c>
      <c r="C6" s="34" t="s">
        <v>692</v>
      </c>
      <c r="D6" s="34"/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8">
        <v>12</v>
      </c>
      <c r="R6" s="9">
        <v>7</v>
      </c>
      <c r="S6" s="10">
        <v>6</v>
      </c>
      <c r="T6" s="11">
        <v>9</v>
      </c>
      <c r="U6" s="12">
        <v>7</v>
      </c>
      <c r="V6" s="13">
        <v>3</v>
      </c>
      <c r="W6" s="4">
        <v>0</v>
      </c>
      <c r="X6" s="4">
        <v>0</v>
      </c>
      <c r="Y6" s="4">
        <v>0</v>
      </c>
    </row>
    <row r="7" spans="1:25" ht="16.5" customHeight="1" x14ac:dyDescent="0.25">
      <c r="B7" s="44"/>
      <c r="C7" s="34" t="s">
        <v>693</v>
      </c>
      <c r="D7" s="34"/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8">
        <v>12</v>
      </c>
      <c r="R7" s="9">
        <v>11</v>
      </c>
      <c r="S7" s="10">
        <v>10</v>
      </c>
      <c r="T7" s="11">
        <v>19</v>
      </c>
      <c r="U7" s="12">
        <v>10</v>
      </c>
      <c r="V7" s="13">
        <v>11</v>
      </c>
      <c r="W7" s="4">
        <v>0</v>
      </c>
      <c r="X7" s="4">
        <v>0</v>
      </c>
      <c r="Y7" s="4">
        <v>0</v>
      </c>
    </row>
    <row r="8" spans="1:25" x14ac:dyDescent="0.25">
      <c r="C8" s="40" t="s">
        <v>694</v>
      </c>
      <c r="D8" s="40"/>
      <c r="E8" s="48">
        <f>SUM(E3:G3)</f>
        <v>8</v>
      </c>
      <c r="F8" s="49"/>
      <c r="G8" s="49"/>
      <c r="H8" s="35">
        <f>SUM(H3:J3)</f>
        <v>13</v>
      </c>
      <c r="I8" s="35"/>
      <c r="J8" s="35"/>
      <c r="K8" s="39">
        <f>SUM(K3:M3)</f>
        <v>13</v>
      </c>
      <c r="L8" s="39"/>
      <c r="M8" s="39"/>
      <c r="N8" s="39">
        <f>SUM(N3:P3)</f>
        <v>8</v>
      </c>
      <c r="O8" s="39"/>
      <c r="P8" s="39"/>
      <c r="Q8" s="36">
        <f>SUM(Q6:S6)</f>
        <v>25</v>
      </c>
      <c r="R8" s="36"/>
      <c r="S8" s="36"/>
      <c r="T8" s="47">
        <f>SUM(T6:V6)</f>
        <v>19</v>
      </c>
      <c r="U8" s="47"/>
      <c r="V8" s="47"/>
    </row>
    <row r="9" spans="1:25" ht="16.5" customHeight="1" x14ac:dyDescent="0.25">
      <c r="C9" s="45" t="s">
        <v>698</v>
      </c>
      <c r="D9" s="45"/>
      <c r="E9" s="37">
        <f>SUM(E8:P8)</f>
        <v>42</v>
      </c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8">
        <f>SUM(Q8:V8)</f>
        <v>44</v>
      </c>
      <c r="R9" s="38"/>
      <c r="S9" s="38"/>
      <c r="T9" s="38"/>
      <c r="U9" s="38"/>
      <c r="V9" s="38"/>
    </row>
    <row r="10" spans="1:25" ht="16.5" customHeight="1" x14ac:dyDescent="0.25">
      <c r="B10" s="2" t="s">
        <v>0</v>
      </c>
      <c r="C10" s="40" t="s">
        <v>695</v>
      </c>
      <c r="D10" s="40"/>
      <c r="E10" s="46">
        <f>SUM(E8:V8)</f>
        <v>86</v>
      </c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</row>
    <row r="11" spans="1:25" ht="6.75" customHeight="1" x14ac:dyDescent="0.25"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</row>
    <row r="12" spans="1:25" ht="16.5" customHeight="1" x14ac:dyDescent="0.25">
      <c r="A12" s="6" t="s">
        <v>121</v>
      </c>
      <c r="B12" t="s">
        <v>7</v>
      </c>
      <c r="C12" t="s">
        <v>8</v>
      </c>
      <c r="D12" t="s">
        <v>606</v>
      </c>
      <c r="E12" s="15" t="s">
        <v>9</v>
      </c>
      <c r="F12" s="19" t="s">
        <v>703</v>
      </c>
      <c r="H12" s="24" t="s">
        <v>703</v>
      </c>
    </row>
    <row r="13" spans="1:25" ht="16.5" customHeight="1" x14ac:dyDescent="0.25">
      <c r="A13" s="6"/>
      <c r="B13" t="s">
        <v>10</v>
      </c>
      <c r="C13" t="s">
        <v>11</v>
      </c>
      <c r="D13" t="s">
        <v>607</v>
      </c>
      <c r="E13" s="15" t="s">
        <v>9</v>
      </c>
      <c r="F13" s="19" t="s">
        <v>703</v>
      </c>
      <c r="I13" s="25" t="s">
        <v>703</v>
      </c>
    </row>
    <row r="14" spans="1:25" ht="16.5" customHeight="1" x14ac:dyDescent="0.25">
      <c r="A14" s="6"/>
      <c r="B14" t="s">
        <v>12</v>
      </c>
      <c r="C14" t="s">
        <v>13</v>
      </c>
      <c r="D14" t="s">
        <v>608</v>
      </c>
      <c r="E14" s="15" t="s">
        <v>9</v>
      </c>
      <c r="F14" s="19" t="s">
        <v>703</v>
      </c>
      <c r="H14" s="24" t="s">
        <v>703</v>
      </c>
    </row>
    <row r="15" spans="1:25" ht="16.5" customHeight="1" x14ac:dyDescent="0.25">
      <c r="A15" s="6"/>
      <c r="B15" t="s">
        <v>14</v>
      </c>
      <c r="C15" t="s">
        <v>15</v>
      </c>
      <c r="D15" t="s">
        <v>609</v>
      </c>
      <c r="E15" s="15" t="s">
        <v>9</v>
      </c>
      <c r="F15" s="19" t="s">
        <v>703</v>
      </c>
      <c r="K15" s="17" t="s">
        <v>703</v>
      </c>
      <c r="Q15" s="18" t="s">
        <v>703</v>
      </c>
      <c r="R15" s="9" t="s">
        <v>703</v>
      </c>
    </row>
    <row r="16" spans="1:25" ht="16.5" customHeight="1" x14ac:dyDescent="0.25">
      <c r="A16" s="6"/>
      <c r="B16" t="s">
        <v>16</v>
      </c>
      <c r="C16" t="s">
        <v>17</v>
      </c>
      <c r="D16" t="s">
        <v>610</v>
      </c>
      <c r="F16" s="16" t="s">
        <v>9</v>
      </c>
      <c r="G16" s="19" t="s">
        <v>703</v>
      </c>
      <c r="K16" s="17" t="s">
        <v>703</v>
      </c>
      <c r="N16" s="20" t="s">
        <v>703</v>
      </c>
    </row>
    <row r="17" spans="1:19" ht="16.5" customHeight="1" x14ac:dyDescent="0.25">
      <c r="A17" s="6"/>
      <c r="B17" t="s">
        <v>18</v>
      </c>
      <c r="C17" t="s">
        <v>19</v>
      </c>
      <c r="D17" t="s">
        <v>611</v>
      </c>
      <c r="F17" s="16" t="s">
        <v>9</v>
      </c>
      <c r="G17" s="19" t="s">
        <v>703</v>
      </c>
      <c r="L17" s="21" t="s">
        <v>703</v>
      </c>
    </row>
    <row r="18" spans="1:19" ht="16.5" customHeight="1" x14ac:dyDescent="0.25">
      <c r="A18" s="6"/>
      <c r="B18" t="s">
        <v>20</v>
      </c>
      <c r="C18" t="s">
        <v>21</v>
      </c>
      <c r="D18" t="s">
        <v>612</v>
      </c>
      <c r="F18" s="16" t="s">
        <v>9</v>
      </c>
      <c r="G18" s="19" t="s">
        <v>703</v>
      </c>
      <c r="L18" s="21" t="s">
        <v>703</v>
      </c>
      <c r="O18" s="23" t="s">
        <v>703</v>
      </c>
      <c r="P18" s="7" t="s">
        <v>703</v>
      </c>
      <c r="R18" s="9" t="s">
        <v>703</v>
      </c>
      <c r="S18" s="10" t="s">
        <v>703</v>
      </c>
    </row>
    <row r="19" spans="1:19" ht="16.5" customHeight="1" x14ac:dyDescent="0.25">
      <c r="A19" s="6"/>
      <c r="B19" t="s">
        <v>22</v>
      </c>
      <c r="C19" t="s">
        <v>23</v>
      </c>
      <c r="D19" t="s">
        <v>613</v>
      </c>
      <c r="F19" s="16" t="s">
        <v>9</v>
      </c>
      <c r="G19" s="19" t="s">
        <v>703</v>
      </c>
      <c r="I19" s="25" t="s">
        <v>703</v>
      </c>
    </row>
    <row r="20" spans="1:19" x14ac:dyDescent="0.25">
      <c r="A20" s="6"/>
      <c r="B20" t="s">
        <v>24</v>
      </c>
      <c r="C20" t="s">
        <v>25</v>
      </c>
      <c r="D20" t="s">
        <v>615</v>
      </c>
      <c r="H20" s="24" t="s">
        <v>9</v>
      </c>
      <c r="K20" s="17" t="s">
        <v>703</v>
      </c>
      <c r="Q20" s="18" t="s">
        <v>703</v>
      </c>
    </row>
    <row r="21" spans="1:19" x14ac:dyDescent="0.25">
      <c r="A21" s="6"/>
      <c r="B21" t="s">
        <v>26</v>
      </c>
      <c r="C21" t="s">
        <v>27</v>
      </c>
      <c r="D21" t="s">
        <v>616</v>
      </c>
      <c r="H21" s="24" t="s">
        <v>9</v>
      </c>
      <c r="K21" s="17" t="s">
        <v>703</v>
      </c>
      <c r="Q21" s="18" t="s">
        <v>703</v>
      </c>
    </row>
    <row r="22" spans="1:19" ht="16.5" customHeight="1" x14ac:dyDescent="0.25">
      <c r="A22" s="6"/>
      <c r="B22" t="s">
        <v>28</v>
      </c>
      <c r="C22" t="s">
        <v>29</v>
      </c>
      <c r="D22" t="s">
        <v>614</v>
      </c>
      <c r="H22" s="24" t="s">
        <v>9</v>
      </c>
      <c r="I22" s="25" t="s">
        <v>703</v>
      </c>
      <c r="K22" s="1"/>
      <c r="L22" s="1"/>
      <c r="N22" s="20" t="s">
        <v>703</v>
      </c>
      <c r="O22" s="23" t="s">
        <v>703</v>
      </c>
      <c r="Q22" s="18" t="s">
        <v>703</v>
      </c>
      <c r="R22" s="9" t="s">
        <v>703</v>
      </c>
    </row>
    <row r="23" spans="1:19" ht="16.5" customHeight="1" x14ac:dyDescent="0.25">
      <c r="A23" s="6"/>
      <c r="B23" t="s">
        <v>30</v>
      </c>
      <c r="C23" t="s">
        <v>31</v>
      </c>
      <c r="D23" t="s">
        <v>620</v>
      </c>
      <c r="H23" s="24" t="s">
        <v>9</v>
      </c>
      <c r="I23" s="25" t="s">
        <v>703</v>
      </c>
      <c r="K23" s="1"/>
      <c r="N23" s="20" t="s">
        <v>703</v>
      </c>
    </row>
    <row r="24" spans="1:19" ht="16.5" customHeight="1" x14ac:dyDescent="0.25">
      <c r="A24" s="6"/>
      <c r="B24" t="s">
        <v>34</v>
      </c>
      <c r="C24" t="s">
        <v>35</v>
      </c>
      <c r="D24" t="s">
        <v>623</v>
      </c>
      <c r="H24" s="24" t="s">
        <v>9</v>
      </c>
      <c r="I24" s="25" t="s">
        <v>703</v>
      </c>
      <c r="K24" s="17" t="s">
        <v>703</v>
      </c>
      <c r="Q24" s="18" t="s">
        <v>703</v>
      </c>
    </row>
    <row r="25" spans="1:19" ht="16.5" customHeight="1" x14ac:dyDescent="0.25">
      <c r="A25" s="6"/>
      <c r="B25" t="s">
        <v>36</v>
      </c>
      <c r="C25" t="s">
        <v>37</v>
      </c>
      <c r="D25" t="s">
        <v>619</v>
      </c>
      <c r="H25" s="24" t="s">
        <v>9</v>
      </c>
      <c r="I25" s="25" t="s">
        <v>703</v>
      </c>
      <c r="K25" s="1"/>
      <c r="N25" s="20" t="s">
        <v>703</v>
      </c>
      <c r="Q25" s="18" t="s">
        <v>703</v>
      </c>
    </row>
    <row r="26" spans="1:19" ht="16.5" customHeight="1" x14ac:dyDescent="0.25">
      <c r="A26" s="6"/>
      <c r="B26" t="s">
        <v>39</v>
      </c>
      <c r="C26" t="s">
        <v>40</v>
      </c>
      <c r="D26" t="s">
        <v>663</v>
      </c>
      <c r="I26" s="25" t="s">
        <v>9</v>
      </c>
      <c r="J26" s="26" t="s">
        <v>703</v>
      </c>
      <c r="K26" s="17" t="s">
        <v>703</v>
      </c>
      <c r="N26" s="20" t="s">
        <v>703</v>
      </c>
      <c r="Q26" s="18" t="s">
        <v>703</v>
      </c>
    </row>
    <row r="27" spans="1:19" ht="16.5" customHeight="1" x14ac:dyDescent="0.25">
      <c r="A27" s="6"/>
      <c r="B27" t="s">
        <v>41</v>
      </c>
      <c r="C27" t="s">
        <v>42</v>
      </c>
      <c r="D27" t="s">
        <v>635</v>
      </c>
      <c r="I27" s="25" t="s">
        <v>9</v>
      </c>
      <c r="J27" s="26" t="s">
        <v>703</v>
      </c>
      <c r="O27" s="23" t="s">
        <v>703</v>
      </c>
      <c r="R27" s="9" t="s">
        <v>703</v>
      </c>
    </row>
    <row r="28" spans="1:19" ht="16.5" customHeight="1" x14ac:dyDescent="0.25">
      <c r="A28" s="6"/>
      <c r="B28" t="s">
        <v>43</v>
      </c>
      <c r="C28" t="s">
        <v>44</v>
      </c>
      <c r="D28" t="s">
        <v>626</v>
      </c>
      <c r="I28" s="25" t="s">
        <v>9</v>
      </c>
      <c r="J28" s="26" t="s">
        <v>703</v>
      </c>
      <c r="K28" s="17" t="s">
        <v>703</v>
      </c>
      <c r="N28" s="20" t="s">
        <v>703</v>
      </c>
      <c r="Q28" s="18" t="s">
        <v>703</v>
      </c>
    </row>
    <row r="29" spans="1:19" ht="16.5" customHeight="1" x14ac:dyDescent="0.25">
      <c r="A29" s="6"/>
      <c r="B29" t="s">
        <v>45</v>
      </c>
      <c r="C29" t="s">
        <v>46</v>
      </c>
      <c r="D29" t="s">
        <v>627</v>
      </c>
      <c r="I29" s="25" t="s">
        <v>9</v>
      </c>
      <c r="J29" s="26" t="s">
        <v>703</v>
      </c>
      <c r="K29" s="17" t="s">
        <v>703</v>
      </c>
      <c r="N29" s="20" t="s">
        <v>703</v>
      </c>
      <c r="Q29" s="18" t="s">
        <v>703</v>
      </c>
    </row>
    <row r="30" spans="1:19" ht="16.5" customHeight="1" x14ac:dyDescent="0.25">
      <c r="A30" s="6"/>
      <c r="B30" t="s">
        <v>47</v>
      </c>
      <c r="C30" t="s">
        <v>48</v>
      </c>
      <c r="D30" t="s">
        <v>642</v>
      </c>
      <c r="J30" s="26" t="s">
        <v>9</v>
      </c>
      <c r="P30" s="7" t="s">
        <v>703</v>
      </c>
      <c r="S30" s="10" t="s">
        <v>703</v>
      </c>
    </row>
    <row r="31" spans="1:19" ht="16.5" customHeight="1" x14ac:dyDescent="0.25">
      <c r="A31" s="6"/>
      <c r="B31" t="s">
        <v>49</v>
      </c>
      <c r="C31" t="s">
        <v>50</v>
      </c>
      <c r="D31" t="s">
        <v>637</v>
      </c>
      <c r="J31" s="26" t="s">
        <v>9</v>
      </c>
      <c r="L31" s="21" t="s">
        <v>703</v>
      </c>
      <c r="M31" s="22" t="s">
        <v>703</v>
      </c>
      <c r="O31" s="23" t="s">
        <v>703</v>
      </c>
      <c r="P31" s="7" t="s">
        <v>703</v>
      </c>
      <c r="R31" s="9" t="s">
        <v>703</v>
      </c>
      <c r="S31" s="10" t="s">
        <v>703</v>
      </c>
    </row>
    <row r="32" spans="1:19" ht="16.5" customHeight="1" x14ac:dyDescent="0.25">
      <c r="A32" s="6"/>
      <c r="B32" t="s">
        <v>51</v>
      </c>
      <c r="C32" t="s">
        <v>52</v>
      </c>
      <c r="D32" t="s">
        <v>645</v>
      </c>
      <c r="J32" s="26" t="s">
        <v>9</v>
      </c>
      <c r="P32" s="7" t="s">
        <v>703</v>
      </c>
      <c r="S32" s="10" t="s">
        <v>703</v>
      </c>
    </row>
    <row r="33" spans="1:19" x14ac:dyDescent="0.25">
      <c r="A33" s="6"/>
      <c r="B33" t="s">
        <v>53</v>
      </c>
      <c r="C33" t="s">
        <v>54</v>
      </c>
      <c r="D33" t="s">
        <v>630</v>
      </c>
      <c r="K33" s="17" t="s">
        <v>9</v>
      </c>
      <c r="N33" s="20" t="s">
        <v>703</v>
      </c>
      <c r="Q33" s="18" t="s">
        <v>703</v>
      </c>
    </row>
    <row r="34" spans="1:19" x14ac:dyDescent="0.25">
      <c r="A34" s="6"/>
      <c r="B34" t="s">
        <v>55</v>
      </c>
      <c r="C34" t="s">
        <v>56</v>
      </c>
      <c r="D34" t="s">
        <v>631</v>
      </c>
      <c r="K34" s="17" t="s">
        <v>9</v>
      </c>
      <c r="N34" s="20" t="s">
        <v>703</v>
      </c>
      <c r="Q34" s="18" t="s">
        <v>703</v>
      </c>
    </row>
    <row r="35" spans="1:19" ht="16.5" customHeight="1" x14ac:dyDescent="0.25">
      <c r="A35" s="6"/>
      <c r="B35" t="s">
        <v>91</v>
      </c>
      <c r="C35" t="s">
        <v>38</v>
      </c>
      <c r="D35" t="s">
        <v>643</v>
      </c>
      <c r="K35" s="17" t="s">
        <v>9</v>
      </c>
      <c r="L35" s="21" t="s">
        <v>703</v>
      </c>
      <c r="N35" s="20" t="s">
        <v>703</v>
      </c>
      <c r="O35" s="23" t="s">
        <v>703</v>
      </c>
      <c r="Q35" s="18" t="s">
        <v>703</v>
      </c>
      <c r="R35" s="9" t="s">
        <v>703</v>
      </c>
    </row>
    <row r="36" spans="1:19" x14ac:dyDescent="0.25">
      <c r="A36" s="6"/>
      <c r="B36" t="s">
        <v>57</v>
      </c>
      <c r="C36" t="s">
        <v>58</v>
      </c>
      <c r="D36" t="s">
        <v>624</v>
      </c>
      <c r="K36" s="17" t="s">
        <v>9</v>
      </c>
      <c r="L36" s="21" t="s">
        <v>703</v>
      </c>
      <c r="N36" s="20" t="s">
        <v>703</v>
      </c>
      <c r="O36" s="23" t="s">
        <v>703</v>
      </c>
      <c r="Q36" s="18" t="s">
        <v>703</v>
      </c>
      <c r="R36" s="9" t="s">
        <v>703</v>
      </c>
    </row>
    <row r="37" spans="1:19" x14ac:dyDescent="0.25">
      <c r="A37" s="6"/>
      <c r="B37" t="s">
        <v>61</v>
      </c>
      <c r="C37" t="s">
        <v>62</v>
      </c>
      <c r="D37" t="s">
        <v>618</v>
      </c>
      <c r="K37" s="17" t="s">
        <v>9</v>
      </c>
      <c r="L37" s="21" t="s">
        <v>703</v>
      </c>
      <c r="M37" s="22" t="s">
        <v>703</v>
      </c>
      <c r="N37" s="20" t="s">
        <v>703</v>
      </c>
      <c r="O37" s="23" t="s">
        <v>703</v>
      </c>
      <c r="P37" s="7" t="s">
        <v>703</v>
      </c>
      <c r="Q37" s="18" t="s">
        <v>703</v>
      </c>
      <c r="R37" s="9" t="s">
        <v>703</v>
      </c>
      <c r="S37" s="10" t="s">
        <v>703</v>
      </c>
    </row>
    <row r="38" spans="1:19" x14ac:dyDescent="0.25">
      <c r="A38" s="6"/>
      <c r="B38" t="s">
        <v>88</v>
      </c>
      <c r="C38" t="s">
        <v>67</v>
      </c>
      <c r="D38" t="s">
        <v>632</v>
      </c>
      <c r="L38" s="21" t="s">
        <v>9</v>
      </c>
      <c r="M38" s="22" t="s">
        <v>703</v>
      </c>
      <c r="R38" s="9" t="s">
        <v>703</v>
      </c>
      <c r="S38" s="10" t="s">
        <v>703</v>
      </c>
    </row>
    <row r="39" spans="1:19" x14ac:dyDescent="0.25">
      <c r="A39" s="6"/>
      <c r="B39" t="s">
        <v>68</v>
      </c>
      <c r="C39" t="s">
        <v>69</v>
      </c>
      <c r="D39" t="s">
        <v>634</v>
      </c>
      <c r="L39" s="21" t="s">
        <v>9</v>
      </c>
      <c r="M39" s="22" t="s">
        <v>703</v>
      </c>
      <c r="R39" s="9" t="s">
        <v>703</v>
      </c>
      <c r="S39" s="10" t="s">
        <v>703</v>
      </c>
    </row>
    <row r="40" spans="1:19" x14ac:dyDescent="0.25">
      <c r="A40" s="6"/>
      <c r="B40" t="s">
        <v>70</v>
      </c>
      <c r="C40" t="s">
        <v>71</v>
      </c>
      <c r="D40" t="s">
        <v>636</v>
      </c>
      <c r="L40" s="21" t="s">
        <v>9</v>
      </c>
      <c r="M40" s="22" t="s">
        <v>703</v>
      </c>
      <c r="R40" s="9" t="s">
        <v>703</v>
      </c>
      <c r="S40" s="10" t="s">
        <v>703</v>
      </c>
    </row>
    <row r="41" spans="1:19" x14ac:dyDescent="0.25">
      <c r="A41" s="6"/>
      <c r="B41" t="s">
        <v>77</v>
      </c>
      <c r="C41" t="s">
        <v>78</v>
      </c>
      <c r="D41" t="s">
        <v>641</v>
      </c>
      <c r="L41" s="21" t="s">
        <v>9</v>
      </c>
      <c r="M41" s="22" t="s">
        <v>703</v>
      </c>
      <c r="R41" s="9" t="s">
        <v>703</v>
      </c>
      <c r="S41" s="10" t="s">
        <v>703</v>
      </c>
    </row>
    <row r="42" spans="1:19" x14ac:dyDescent="0.25">
      <c r="A42" s="6"/>
      <c r="B42" t="s">
        <v>79</v>
      </c>
      <c r="C42" t="s">
        <v>80</v>
      </c>
      <c r="D42" t="s">
        <v>644</v>
      </c>
      <c r="L42" s="21" t="s">
        <v>9</v>
      </c>
      <c r="M42" s="22" t="s">
        <v>703</v>
      </c>
      <c r="S42" s="10" t="s">
        <v>703</v>
      </c>
    </row>
    <row r="43" spans="1:19" x14ac:dyDescent="0.25">
      <c r="A43" s="6"/>
      <c r="B43" t="s">
        <v>81</v>
      </c>
      <c r="C43" t="s">
        <v>82</v>
      </c>
      <c r="D43" t="s">
        <v>646</v>
      </c>
      <c r="M43" s="22" t="s">
        <v>9</v>
      </c>
      <c r="P43" s="7" t="s">
        <v>703</v>
      </c>
      <c r="S43" s="10" t="s">
        <v>703</v>
      </c>
    </row>
    <row r="44" spans="1:19" x14ac:dyDescent="0.25">
      <c r="A44" s="6"/>
      <c r="B44" t="s">
        <v>83</v>
      </c>
      <c r="C44" t="s">
        <v>84</v>
      </c>
      <c r="D44" t="s">
        <v>647</v>
      </c>
      <c r="M44" s="22" t="s">
        <v>9</v>
      </c>
      <c r="P44" s="7" t="s">
        <v>703</v>
      </c>
      <c r="S44" s="10" t="s">
        <v>703</v>
      </c>
    </row>
    <row r="45" spans="1:19" x14ac:dyDescent="0.25">
      <c r="A45" s="6"/>
      <c r="B45" t="s">
        <v>85</v>
      </c>
      <c r="C45" t="s">
        <v>86</v>
      </c>
      <c r="D45" t="s">
        <v>648</v>
      </c>
      <c r="M45" s="22" t="s">
        <v>9</v>
      </c>
      <c r="P45" s="7" t="s">
        <v>703</v>
      </c>
      <c r="S45" s="10" t="s">
        <v>703</v>
      </c>
    </row>
    <row r="46" spans="1:19" x14ac:dyDescent="0.25">
      <c r="A46" s="6"/>
      <c r="B46" t="s">
        <v>63</v>
      </c>
      <c r="C46" t="s">
        <v>64</v>
      </c>
      <c r="D46" t="s">
        <v>625</v>
      </c>
      <c r="L46" s="1"/>
      <c r="N46" s="20" t="s">
        <v>9</v>
      </c>
      <c r="O46" s="23" t="s">
        <v>703</v>
      </c>
      <c r="R46" s="32" t="s">
        <v>9</v>
      </c>
    </row>
    <row r="47" spans="1:19" x14ac:dyDescent="0.25">
      <c r="A47" s="6"/>
      <c r="B47" t="s">
        <v>708</v>
      </c>
      <c r="C47" t="s">
        <v>65</v>
      </c>
      <c r="D47" t="s">
        <v>629</v>
      </c>
      <c r="L47" s="1"/>
      <c r="N47" s="20" t="s">
        <v>9</v>
      </c>
      <c r="O47" s="23" t="s">
        <v>703</v>
      </c>
      <c r="R47" s="32" t="s">
        <v>9</v>
      </c>
    </row>
    <row r="48" spans="1:19" x14ac:dyDescent="0.25">
      <c r="A48" s="6"/>
      <c r="B48" t="s">
        <v>707</v>
      </c>
      <c r="C48" t="s">
        <v>66</v>
      </c>
      <c r="D48" t="s">
        <v>628</v>
      </c>
      <c r="L48" s="1"/>
      <c r="N48" s="20" t="s">
        <v>9</v>
      </c>
      <c r="O48" s="23" t="s">
        <v>703</v>
      </c>
      <c r="R48" s="32" t="s">
        <v>9</v>
      </c>
    </row>
    <row r="49" spans="1:26" x14ac:dyDescent="0.25">
      <c r="A49" s="6"/>
      <c r="B49" t="s">
        <v>59</v>
      </c>
      <c r="C49" t="s">
        <v>60</v>
      </c>
      <c r="D49" t="s">
        <v>622</v>
      </c>
      <c r="N49" s="20" t="s">
        <v>9</v>
      </c>
      <c r="O49" s="23" t="s">
        <v>703</v>
      </c>
    </row>
    <row r="50" spans="1:26" x14ac:dyDescent="0.25">
      <c r="A50" s="6"/>
      <c r="B50" t="s">
        <v>72</v>
      </c>
      <c r="C50" t="s">
        <v>73</v>
      </c>
      <c r="D50" t="s">
        <v>638</v>
      </c>
      <c r="M50" s="1"/>
      <c r="N50" s="20" t="s">
        <v>9</v>
      </c>
      <c r="O50" s="23" t="s">
        <v>703</v>
      </c>
      <c r="S50" s="10" t="s">
        <v>703</v>
      </c>
    </row>
    <row r="51" spans="1:26" x14ac:dyDescent="0.25">
      <c r="A51" s="6"/>
      <c r="B51" t="s">
        <v>74</v>
      </c>
      <c r="C51" t="s">
        <v>75</v>
      </c>
      <c r="D51" t="s">
        <v>639</v>
      </c>
      <c r="N51" s="20" t="s">
        <v>9</v>
      </c>
      <c r="O51" s="23" t="s">
        <v>703</v>
      </c>
      <c r="S51" s="10" t="s">
        <v>703</v>
      </c>
    </row>
    <row r="52" spans="1:26" x14ac:dyDescent="0.25">
      <c r="A52" s="6"/>
      <c r="B52" t="s">
        <v>87</v>
      </c>
      <c r="C52" t="s">
        <v>76</v>
      </c>
      <c r="D52" t="s">
        <v>640</v>
      </c>
      <c r="N52" s="20" t="s">
        <v>9</v>
      </c>
      <c r="O52" s="23" t="s">
        <v>703</v>
      </c>
      <c r="S52" s="10" t="s">
        <v>703</v>
      </c>
    </row>
    <row r="53" spans="1:26" x14ac:dyDescent="0.25">
      <c r="A53" s="6"/>
      <c r="B53" t="s">
        <v>32</v>
      </c>
      <c r="C53" t="s">
        <v>33</v>
      </c>
      <c r="D53" t="s">
        <v>621</v>
      </c>
      <c r="K53" s="1"/>
      <c r="L53" s="1"/>
      <c r="O53" s="23" t="s">
        <v>9</v>
      </c>
      <c r="Q53" s="18" t="s">
        <v>703</v>
      </c>
      <c r="R53" s="9" t="s">
        <v>703</v>
      </c>
    </row>
    <row r="54" spans="1:26" ht="6" customHeight="1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" customHeight="1" x14ac:dyDescent="0.25">
      <c r="A55" s="50" t="s">
        <v>702</v>
      </c>
      <c r="B55" t="s">
        <v>92</v>
      </c>
      <c r="C55" t="s">
        <v>105</v>
      </c>
      <c r="D55" t="s">
        <v>649</v>
      </c>
      <c r="Q55" s="18" t="s">
        <v>9</v>
      </c>
      <c r="T55" s="27" t="s">
        <v>9</v>
      </c>
    </row>
    <row r="56" spans="1:26" x14ac:dyDescent="0.25">
      <c r="A56" s="50"/>
      <c r="B56" t="s">
        <v>93</v>
      </c>
      <c r="C56" t="s">
        <v>106</v>
      </c>
      <c r="D56" t="s">
        <v>650</v>
      </c>
      <c r="Q56" s="18" t="s">
        <v>9</v>
      </c>
      <c r="T56" s="27" t="s">
        <v>9</v>
      </c>
    </row>
    <row r="57" spans="1:26" x14ac:dyDescent="0.25">
      <c r="A57" s="50"/>
      <c r="B57" t="s">
        <v>94</v>
      </c>
      <c r="C57" t="s">
        <v>107</v>
      </c>
      <c r="D57" t="s">
        <v>651</v>
      </c>
      <c r="Q57" s="18" t="s">
        <v>9</v>
      </c>
      <c r="T57" s="27" t="s">
        <v>9</v>
      </c>
    </row>
    <row r="58" spans="1:26" x14ac:dyDescent="0.25">
      <c r="A58" s="50"/>
      <c r="B58" t="s">
        <v>95</v>
      </c>
      <c r="C58" t="s">
        <v>108</v>
      </c>
      <c r="D58" t="s">
        <v>652</v>
      </c>
      <c r="Q58" s="18" t="s">
        <v>9</v>
      </c>
      <c r="T58" s="27" t="s">
        <v>9</v>
      </c>
    </row>
    <row r="59" spans="1:26" x14ac:dyDescent="0.25">
      <c r="A59" s="50"/>
      <c r="B59" t="s">
        <v>96</v>
      </c>
      <c r="C59" t="s">
        <v>109</v>
      </c>
      <c r="D59" t="s">
        <v>653</v>
      </c>
      <c r="Q59" s="18" t="s">
        <v>9</v>
      </c>
      <c r="T59" s="27" t="s">
        <v>9</v>
      </c>
    </row>
    <row r="60" spans="1:26" x14ac:dyDescent="0.25">
      <c r="A60" s="50"/>
      <c r="B60" t="s">
        <v>97</v>
      </c>
      <c r="C60" t="s">
        <v>110</v>
      </c>
      <c r="D60" t="s">
        <v>654</v>
      </c>
      <c r="Q60" s="18" t="s">
        <v>9</v>
      </c>
      <c r="T60" s="27" t="s">
        <v>9</v>
      </c>
    </row>
    <row r="61" spans="1:26" x14ac:dyDescent="0.25">
      <c r="A61" s="50"/>
      <c r="B61" t="s">
        <v>98</v>
      </c>
      <c r="C61" t="s">
        <v>111</v>
      </c>
      <c r="D61" t="s">
        <v>633</v>
      </c>
      <c r="Q61" s="18" t="s">
        <v>9</v>
      </c>
      <c r="T61" s="27" t="s">
        <v>9</v>
      </c>
    </row>
    <row r="62" spans="1:26" x14ac:dyDescent="0.25">
      <c r="A62" s="50"/>
      <c r="B62" t="s">
        <v>100</v>
      </c>
      <c r="C62" t="s">
        <v>113</v>
      </c>
      <c r="D62" t="s">
        <v>656</v>
      </c>
      <c r="Q62" s="18" t="s">
        <v>9</v>
      </c>
    </row>
    <row r="63" spans="1:26" x14ac:dyDescent="0.25">
      <c r="A63" s="50"/>
      <c r="B63" t="s">
        <v>101</v>
      </c>
      <c r="C63" t="s">
        <v>114</v>
      </c>
      <c r="D63" t="s">
        <v>657</v>
      </c>
      <c r="Q63" s="18" t="s">
        <v>9</v>
      </c>
      <c r="R63" s="28" t="s">
        <v>9</v>
      </c>
    </row>
    <row r="64" spans="1:26" x14ac:dyDescent="0.25">
      <c r="A64" s="50"/>
      <c r="B64" t="s">
        <v>102</v>
      </c>
      <c r="C64" t="s">
        <v>115</v>
      </c>
      <c r="D64" t="s">
        <v>658</v>
      </c>
      <c r="Q64" s="18" t="s">
        <v>9</v>
      </c>
    </row>
    <row r="65" spans="1:20" x14ac:dyDescent="0.25">
      <c r="A65" s="50"/>
      <c r="B65" t="s">
        <v>103</v>
      </c>
      <c r="C65" t="s">
        <v>116</v>
      </c>
      <c r="D65" t="s">
        <v>659</v>
      </c>
      <c r="Q65" s="18" t="s">
        <v>9</v>
      </c>
      <c r="R65" s="28" t="s">
        <v>9</v>
      </c>
    </row>
    <row r="66" spans="1:20" x14ac:dyDescent="0.25">
      <c r="A66" s="50"/>
      <c r="B66" t="s">
        <v>104</v>
      </c>
      <c r="C66" t="s">
        <v>117</v>
      </c>
      <c r="D66" t="s">
        <v>660</v>
      </c>
      <c r="Q66" s="18" t="s">
        <v>9</v>
      </c>
      <c r="R66" s="28" t="s">
        <v>9</v>
      </c>
    </row>
    <row r="67" spans="1:20" x14ac:dyDescent="0.25">
      <c r="A67" s="50"/>
      <c r="B67" t="s">
        <v>124</v>
      </c>
      <c r="C67" t="s">
        <v>125</v>
      </c>
      <c r="D67" t="s">
        <v>662</v>
      </c>
      <c r="R67" s="28" t="s">
        <v>9</v>
      </c>
      <c r="S67" s="29" t="s">
        <v>9</v>
      </c>
      <c r="T67" s="27" t="s">
        <v>9</v>
      </c>
    </row>
    <row r="68" spans="1:20" x14ac:dyDescent="0.25">
      <c r="A68" s="50"/>
      <c r="B68" t="s">
        <v>126</v>
      </c>
      <c r="C68" t="s">
        <v>127</v>
      </c>
      <c r="D68" t="s">
        <v>664</v>
      </c>
      <c r="R68" s="28" t="s">
        <v>9</v>
      </c>
      <c r="T68" s="27" t="s">
        <v>9</v>
      </c>
    </row>
    <row r="69" spans="1:20" x14ac:dyDescent="0.25">
      <c r="A69" s="50"/>
      <c r="B69" t="s">
        <v>128</v>
      </c>
      <c r="C69" t="s">
        <v>129</v>
      </c>
      <c r="D69" t="s">
        <v>665</v>
      </c>
      <c r="R69" s="28" t="s">
        <v>9</v>
      </c>
    </row>
    <row r="70" spans="1:20" x14ac:dyDescent="0.25">
      <c r="A70" s="50"/>
      <c r="B70" t="s">
        <v>130</v>
      </c>
      <c r="C70" t="s">
        <v>131</v>
      </c>
      <c r="D70" t="s">
        <v>681</v>
      </c>
      <c r="R70" s="28" t="s">
        <v>9</v>
      </c>
      <c r="S70" s="29" t="s">
        <v>9</v>
      </c>
    </row>
    <row r="71" spans="1:20" x14ac:dyDescent="0.25">
      <c r="A71" s="50"/>
      <c r="B71" t="s">
        <v>132</v>
      </c>
      <c r="C71" t="s">
        <v>133</v>
      </c>
      <c r="D71" t="s">
        <v>682</v>
      </c>
      <c r="R71" s="28" t="s">
        <v>9</v>
      </c>
      <c r="S71" s="29" t="s">
        <v>9</v>
      </c>
    </row>
    <row r="72" spans="1:20" x14ac:dyDescent="0.25">
      <c r="A72" s="50"/>
      <c r="B72" t="s">
        <v>134</v>
      </c>
      <c r="C72" t="s">
        <v>135</v>
      </c>
      <c r="D72" t="s">
        <v>666</v>
      </c>
      <c r="R72" s="28" t="s">
        <v>9</v>
      </c>
      <c r="T72" s="27" t="s">
        <v>9</v>
      </c>
    </row>
    <row r="73" spans="1:20" x14ac:dyDescent="0.25">
      <c r="A73" s="50"/>
      <c r="B73" t="s">
        <v>136</v>
      </c>
      <c r="C73" t="s">
        <v>137</v>
      </c>
      <c r="D73" t="s">
        <v>689</v>
      </c>
      <c r="R73" s="28" t="s">
        <v>9</v>
      </c>
      <c r="S73" s="29" t="s">
        <v>9</v>
      </c>
    </row>
    <row r="74" spans="1:20" x14ac:dyDescent="0.25">
      <c r="A74" s="50"/>
      <c r="B74" t="s">
        <v>138</v>
      </c>
      <c r="C74" t="s">
        <v>139</v>
      </c>
      <c r="D74" t="s">
        <v>685</v>
      </c>
      <c r="S74" s="29" t="s">
        <v>9</v>
      </c>
    </row>
    <row r="75" spans="1:20" x14ac:dyDescent="0.25">
      <c r="A75" s="50"/>
      <c r="B75" t="s">
        <v>140</v>
      </c>
      <c r="C75" t="s">
        <v>141</v>
      </c>
      <c r="D75" t="s">
        <v>686</v>
      </c>
      <c r="S75" s="29" t="s">
        <v>9</v>
      </c>
    </row>
    <row r="76" spans="1:20" x14ac:dyDescent="0.25">
      <c r="A76" s="50"/>
      <c r="B76" t="s">
        <v>142</v>
      </c>
      <c r="C76" t="s">
        <v>143</v>
      </c>
      <c r="D76" t="s">
        <v>687</v>
      </c>
      <c r="S76" s="29" t="s">
        <v>9</v>
      </c>
    </row>
    <row r="77" spans="1:20" x14ac:dyDescent="0.25">
      <c r="A77" s="50"/>
      <c r="B77" t="s">
        <v>144</v>
      </c>
      <c r="C77" t="s">
        <v>147</v>
      </c>
      <c r="D77" t="s">
        <v>688</v>
      </c>
      <c r="S77" s="29" t="s">
        <v>9</v>
      </c>
    </row>
    <row r="78" spans="1:20" x14ac:dyDescent="0.25">
      <c r="A78" s="50"/>
      <c r="B78" t="s">
        <v>145</v>
      </c>
      <c r="C78" t="s">
        <v>146</v>
      </c>
      <c r="D78" t="s">
        <v>683</v>
      </c>
      <c r="S78" s="29" t="s">
        <v>9</v>
      </c>
    </row>
    <row r="79" spans="1:20" x14ac:dyDescent="0.25">
      <c r="A79" s="50"/>
      <c r="B79" t="s">
        <v>149</v>
      </c>
      <c r="C79" t="s">
        <v>148</v>
      </c>
      <c r="D79" t="s">
        <v>690</v>
      </c>
      <c r="S79" s="29" t="s">
        <v>9</v>
      </c>
    </row>
    <row r="80" spans="1:20" x14ac:dyDescent="0.25">
      <c r="A80" s="50"/>
      <c r="B80" t="s">
        <v>122</v>
      </c>
      <c r="C80" t="s">
        <v>123</v>
      </c>
      <c r="D80" t="s">
        <v>661</v>
      </c>
      <c r="T80" s="27" t="s">
        <v>9</v>
      </c>
    </row>
    <row r="81" spans="1:22" x14ac:dyDescent="0.25">
      <c r="A81" s="50"/>
      <c r="B81" t="s">
        <v>155</v>
      </c>
      <c r="C81" t="s">
        <v>157</v>
      </c>
      <c r="D81" t="s">
        <v>668</v>
      </c>
      <c r="T81" s="27" t="s">
        <v>9</v>
      </c>
    </row>
    <row r="82" spans="1:22" x14ac:dyDescent="0.25">
      <c r="A82" s="50"/>
      <c r="B82" t="s">
        <v>156</v>
      </c>
      <c r="C82" t="s">
        <v>158</v>
      </c>
      <c r="D82" t="s">
        <v>669</v>
      </c>
      <c r="T82" s="27" t="s">
        <v>9</v>
      </c>
    </row>
    <row r="83" spans="1:22" x14ac:dyDescent="0.25">
      <c r="A83" s="50"/>
      <c r="B83" t="s">
        <v>159</v>
      </c>
      <c r="C83" t="s">
        <v>160</v>
      </c>
      <c r="D83" t="s">
        <v>670</v>
      </c>
      <c r="T83" s="27" t="s">
        <v>9</v>
      </c>
    </row>
    <row r="84" spans="1:22" x14ac:dyDescent="0.25">
      <c r="A84" s="50"/>
      <c r="B84" t="s">
        <v>161</v>
      </c>
      <c r="C84" t="s">
        <v>162</v>
      </c>
      <c r="D84" t="s">
        <v>671</v>
      </c>
      <c r="T84" s="27" t="s">
        <v>9</v>
      </c>
    </row>
    <row r="85" spans="1:22" x14ac:dyDescent="0.25">
      <c r="A85" s="50"/>
      <c r="B85" t="s">
        <v>163</v>
      </c>
      <c r="C85" t="s">
        <v>166</v>
      </c>
      <c r="D85" t="s">
        <v>672</v>
      </c>
      <c r="T85" s="27" t="s">
        <v>9</v>
      </c>
      <c r="U85" s="30" t="s">
        <v>9</v>
      </c>
    </row>
    <row r="86" spans="1:22" x14ac:dyDescent="0.25">
      <c r="A86" s="50"/>
      <c r="B86" t="s">
        <v>164</v>
      </c>
      <c r="C86" t="s">
        <v>165</v>
      </c>
      <c r="D86" t="s">
        <v>673</v>
      </c>
      <c r="T86" s="27" t="s">
        <v>9</v>
      </c>
      <c r="U86" s="30" t="s">
        <v>9</v>
      </c>
    </row>
    <row r="87" spans="1:22" x14ac:dyDescent="0.25">
      <c r="A87" s="50"/>
      <c r="B87" t="s">
        <v>99</v>
      </c>
      <c r="C87" t="s">
        <v>112</v>
      </c>
      <c r="D87" t="s">
        <v>655</v>
      </c>
      <c r="R87" s="28" t="s">
        <v>9</v>
      </c>
      <c r="T87" s="27" t="s">
        <v>9</v>
      </c>
      <c r="U87" s="30" t="s">
        <v>9</v>
      </c>
    </row>
    <row r="88" spans="1:22" x14ac:dyDescent="0.25">
      <c r="A88" s="50"/>
      <c r="B88" t="s">
        <v>153</v>
      </c>
      <c r="C88" t="s">
        <v>154</v>
      </c>
      <c r="D88" t="s">
        <v>667</v>
      </c>
      <c r="T88" s="27" t="s">
        <v>9</v>
      </c>
      <c r="U88" s="30" t="s">
        <v>9</v>
      </c>
      <c r="V88" s="31" t="s">
        <v>9</v>
      </c>
    </row>
    <row r="89" spans="1:22" x14ac:dyDescent="0.25">
      <c r="A89" s="50"/>
      <c r="B89" t="s">
        <v>167</v>
      </c>
      <c r="C89" t="s">
        <v>168</v>
      </c>
      <c r="D89" t="s">
        <v>675</v>
      </c>
      <c r="U89" s="30" t="s">
        <v>9</v>
      </c>
      <c r="V89" s="31" t="s">
        <v>9</v>
      </c>
    </row>
    <row r="90" spans="1:22" x14ac:dyDescent="0.25">
      <c r="A90" s="50"/>
      <c r="B90" t="s">
        <v>169</v>
      </c>
      <c r="C90" t="s">
        <v>170</v>
      </c>
      <c r="D90" t="s">
        <v>674</v>
      </c>
      <c r="U90" s="30" t="s">
        <v>9</v>
      </c>
      <c r="V90" s="31" t="s">
        <v>9</v>
      </c>
    </row>
    <row r="91" spans="1:22" x14ac:dyDescent="0.25">
      <c r="A91" s="50"/>
      <c r="B91" t="s">
        <v>171</v>
      </c>
      <c r="C91" t="s">
        <v>175</v>
      </c>
      <c r="D91" t="s">
        <v>676</v>
      </c>
      <c r="U91" s="30" t="s">
        <v>9</v>
      </c>
      <c r="V91" s="31" t="s">
        <v>9</v>
      </c>
    </row>
    <row r="92" spans="1:22" x14ac:dyDescent="0.25">
      <c r="A92" s="50"/>
      <c r="B92" t="s">
        <v>172</v>
      </c>
      <c r="C92" t="s">
        <v>176</v>
      </c>
      <c r="D92" t="s">
        <v>677</v>
      </c>
      <c r="U92" s="30" t="s">
        <v>9</v>
      </c>
      <c r="V92" s="31" t="s">
        <v>9</v>
      </c>
    </row>
    <row r="93" spans="1:22" x14ac:dyDescent="0.25">
      <c r="A93" s="50"/>
      <c r="B93" t="s">
        <v>173</v>
      </c>
      <c r="C93" t="s">
        <v>177</v>
      </c>
      <c r="D93" t="s">
        <v>679</v>
      </c>
      <c r="U93" s="30" t="s">
        <v>9</v>
      </c>
      <c r="V93" s="31" t="s">
        <v>9</v>
      </c>
    </row>
    <row r="94" spans="1:22" x14ac:dyDescent="0.25">
      <c r="A94" s="50"/>
      <c r="B94" t="s">
        <v>174</v>
      </c>
      <c r="C94" t="s">
        <v>178</v>
      </c>
      <c r="D94" t="s">
        <v>678</v>
      </c>
      <c r="U94" s="30" t="s">
        <v>9</v>
      </c>
      <c r="V94" s="31" t="s">
        <v>9</v>
      </c>
    </row>
    <row r="95" spans="1:22" x14ac:dyDescent="0.25">
      <c r="A95" s="50"/>
      <c r="B95" t="s">
        <v>179</v>
      </c>
      <c r="C95" t="s">
        <v>180</v>
      </c>
      <c r="D95" t="s">
        <v>680</v>
      </c>
      <c r="U95" s="30" t="s">
        <v>9</v>
      </c>
      <c r="V95" s="31" t="s">
        <v>9</v>
      </c>
    </row>
    <row r="96" spans="1:22" x14ac:dyDescent="0.25">
      <c r="A96" s="50"/>
      <c r="B96" t="s">
        <v>181</v>
      </c>
      <c r="C96" t="s">
        <v>182</v>
      </c>
      <c r="D96" t="s">
        <v>681</v>
      </c>
      <c r="V96" s="31" t="s">
        <v>9</v>
      </c>
    </row>
    <row r="97" spans="1:22" x14ac:dyDescent="0.25">
      <c r="A97" s="50"/>
      <c r="B97" t="s">
        <v>183</v>
      </c>
      <c r="C97" t="s">
        <v>184</v>
      </c>
      <c r="D97" t="s">
        <v>691</v>
      </c>
      <c r="V97" s="31" t="s">
        <v>9</v>
      </c>
    </row>
    <row r="98" spans="1:22" x14ac:dyDescent="0.25">
      <c r="A98" s="50"/>
      <c r="B98" t="s">
        <v>185</v>
      </c>
      <c r="C98" t="s">
        <v>186</v>
      </c>
      <c r="D98" t="s">
        <v>684</v>
      </c>
      <c r="V98" s="31" t="s">
        <v>9</v>
      </c>
    </row>
    <row r="99" spans="1:22" ht="6.75" customHeight="1" x14ac:dyDescent="0.25"/>
    <row r="100" spans="1:22" x14ac:dyDescent="0.25">
      <c r="A100" s="51" t="s">
        <v>776</v>
      </c>
      <c r="B100" t="s">
        <v>709</v>
      </c>
      <c r="C100" t="s">
        <v>733</v>
      </c>
      <c r="D100" t="s">
        <v>759</v>
      </c>
    </row>
    <row r="101" spans="1:22" x14ac:dyDescent="0.25">
      <c r="A101" s="51"/>
      <c r="B101" t="s">
        <v>710</v>
      </c>
      <c r="C101" t="s">
        <v>737</v>
      </c>
      <c r="D101" t="s">
        <v>760</v>
      </c>
    </row>
    <row r="102" spans="1:22" x14ac:dyDescent="0.25">
      <c r="A102" s="51"/>
      <c r="B102" t="s">
        <v>719</v>
      </c>
      <c r="C102" t="s">
        <v>738</v>
      </c>
      <c r="D102" t="s">
        <v>761</v>
      </c>
    </row>
    <row r="103" spans="1:22" x14ac:dyDescent="0.25">
      <c r="A103" s="51"/>
      <c r="B103" t="s">
        <v>711</v>
      </c>
      <c r="C103" t="s">
        <v>741</v>
      </c>
      <c r="D103" t="s">
        <v>762</v>
      </c>
    </row>
    <row r="104" spans="1:22" x14ac:dyDescent="0.25">
      <c r="A104" s="51"/>
      <c r="B104" t="s">
        <v>712</v>
      </c>
      <c r="C104" t="s">
        <v>742</v>
      </c>
      <c r="D104" t="s">
        <v>765</v>
      </c>
    </row>
    <row r="105" spans="1:22" x14ac:dyDescent="0.25">
      <c r="A105" s="51"/>
      <c r="B105" t="s">
        <v>713</v>
      </c>
      <c r="C105" t="s">
        <v>744</v>
      </c>
      <c r="D105" t="s">
        <v>763</v>
      </c>
    </row>
    <row r="106" spans="1:22" x14ac:dyDescent="0.25">
      <c r="A106" s="51"/>
      <c r="B106" t="s">
        <v>714</v>
      </c>
      <c r="C106" t="s">
        <v>748</v>
      </c>
      <c r="D106" t="s">
        <v>764</v>
      </c>
    </row>
    <row r="107" spans="1:22" x14ac:dyDescent="0.25">
      <c r="A107" s="51"/>
      <c r="B107" t="s">
        <v>715</v>
      </c>
      <c r="C107" t="s">
        <v>750</v>
      </c>
      <c r="D107" t="s">
        <v>766</v>
      </c>
    </row>
    <row r="108" spans="1:22" x14ac:dyDescent="0.25">
      <c r="A108" s="51"/>
      <c r="B108" t="s">
        <v>716</v>
      </c>
      <c r="C108" t="s">
        <v>734</v>
      </c>
      <c r="D108" t="s">
        <v>767</v>
      </c>
    </row>
    <row r="109" spans="1:22" x14ac:dyDescent="0.25">
      <c r="A109" s="51"/>
      <c r="B109" t="s">
        <v>717</v>
      </c>
      <c r="C109" t="s">
        <v>735</v>
      </c>
      <c r="D109" t="s">
        <v>768</v>
      </c>
    </row>
    <row r="110" spans="1:22" x14ac:dyDescent="0.25">
      <c r="A110" s="51"/>
      <c r="B110" t="s">
        <v>718</v>
      </c>
      <c r="C110" t="s">
        <v>739</v>
      </c>
      <c r="D110" t="s">
        <v>769</v>
      </c>
    </row>
    <row r="111" spans="1:22" x14ac:dyDescent="0.25">
      <c r="A111" s="51"/>
      <c r="B111" t="s">
        <v>720</v>
      </c>
      <c r="C111" t="s">
        <v>740</v>
      </c>
      <c r="D111" t="s">
        <v>770</v>
      </c>
    </row>
    <row r="112" spans="1:22" x14ac:dyDescent="0.25">
      <c r="A112" s="51"/>
      <c r="B112" t="s">
        <v>721</v>
      </c>
      <c r="C112" t="s">
        <v>743</v>
      </c>
      <c r="D112" t="s">
        <v>771</v>
      </c>
    </row>
    <row r="113" spans="1:4" x14ac:dyDescent="0.25">
      <c r="A113" s="51"/>
      <c r="B113" t="s">
        <v>722</v>
      </c>
      <c r="C113" t="s">
        <v>745</v>
      </c>
      <c r="D113" t="s">
        <v>772</v>
      </c>
    </row>
    <row r="114" spans="1:4" x14ac:dyDescent="0.25">
      <c r="A114" s="51"/>
      <c r="B114" t="s">
        <v>723</v>
      </c>
      <c r="C114" t="s">
        <v>747</v>
      </c>
      <c r="D114" t="s">
        <v>773</v>
      </c>
    </row>
    <row r="115" spans="1:4" x14ac:dyDescent="0.25">
      <c r="A115" s="51"/>
      <c r="B115" t="s">
        <v>724</v>
      </c>
      <c r="C115" t="s">
        <v>749</v>
      </c>
      <c r="D115" t="s">
        <v>774</v>
      </c>
    </row>
    <row r="116" spans="1:4" x14ac:dyDescent="0.25">
      <c r="A116" s="51"/>
      <c r="B116" t="s">
        <v>725</v>
      </c>
      <c r="D116" t="s">
        <v>758</v>
      </c>
    </row>
    <row r="117" spans="1:4" x14ac:dyDescent="0.25">
      <c r="A117" s="51"/>
      <c r="B117" t="s">
        <v>726</v>
      </c>
      <c r="C117" t="s">
        <v>736</v>
      </c>
      <c r="D117" t="s">
        <v>757</v>
      </c>
    </row>
    <row r="118" spans="1:4" x14ac:dyDescent="0.25">
      <c r="A118" s="51"/>
      <c r="B118" t="s">
        <v>727</v>
      </c>
      <c r="D118" t="s">
        <v>756</v>
      </c>
    </row>
    <row r="119" spans="1:4" x14ac:dyDescent="0.25">
      <c r="A119" s="51"/>
      <c r="B119" t="s">
        <v>728</v>
      </c>
      <c r="D119" t="s">
        <v>755</v>
      </c>
    </row>
    <row r="120" spans="1:4" x14ac:dyDescent="0.25">
      <c r="A120" s="51"/>
      <c r="B120" t="s">
        <v>729</v>
      </c>
      <c r="D120" t="s">
        <v>754</v>
      </c>
    </row>
    <row r="121" spans="1:4" x14ac:dyDescent="0.25">
      <c r="A121" s="51"/>
      <c r="B121" t="s">
        <v>730</v>
      </c>
      <c r="D121" t="s">
        <v>753</v>
      </c>
    </row>
    <row r="122" spans="1:4" x14ac:dyDescent="0.25">
      <c r="A122" s="51"/>
      <c r="B122" t="s">
        <v>731</v>
      </c>
      <c r="C122" t="s">
        <v>746</v>
      </c>
      <c r="D122" t="s">
        <v>752</v>
      </c>
    </row>
    <row r="123" spans="1:4" x14ac:dyDescent="0.25">
      <c r="A123" s="51"/>
      <c r="B123" t="s">
        <v>732</v>
      </c>
      <c r="D123" t="s">
        <v>751</v>
      </c>
    </row>
  </sheetData>
  <mergeCells count="27">
    <mergeCell ref="A55:A98"/>
    <mergeCell ref="A100:A123"/>
    <mergeCell ref="W1:Y1"/>
    <mergeCell ref="C7:D7"/>
    <mergeCell ref="C8:D8"/>
    <mergeCell ref="C10:D10"/>
    <mergeCell ref="B3:B4"/>
    <mergeCell ref="B6:B7"/>
    <mergeCell ref="C9:D9"/>
    <mergeCell ref="T1:V1"/>
    <mergeCell ref="Q1:S1"/>
    <mergeCell ref="E1:G1"/>
    <mergeCell ref="H1:J1"/>
    <mergeCell ref="N1:P1"/>
    <mergeCell ref="E10:V10"/>
    <mergeCell ref="T8:V8"/>
    <mergeCell ref="E8:G8"/>
    <mergeCell ref="N8:P8"/>
    <mergeCell ref="H8:J8"/>
    <mergeCell ref="Q8:S8"/>
    <mergeCell ref="E9:P9"/>
    <mergeCell ref="Q9:V9"/>
    <mergeCell ref="K1:M1"/>
    <mergeCell ref="K8:M8"/>
    <mergeCell ref="C3:D3"/>
    <mergeCell ref="C4:D4"/>
    <mergeCell ref="C6:D6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3435-43E1-42E5-B3EB-072B1E8A838E}">
  <dimension ref="A1:B419"/>
  <sheetViews>
    <sheetView topLeftCell="A26" workbookViewId="0">
      <selection activeCell="B44" sqref="B44"/>
    </sheetView>
  </sheetViews>
  <sheetFormatPr defaultRowHeight="15" x14ac:dyDescent="0.25"/>
  <cols>
    <col min="1" max="2" width="40.7109375" customWidth="1"/>
  </cols>
  <sheetData>
    <row r="1" spans="1:2" x14ac:dyDescent="0.25">
      <c r="A1" s="2" t="s">
        <v>188</v>
      </c>
      <c r="B1" s="2" t="s">
        <v>187</v>
      </c>
    </row>
    <row r="2" spans="1:2" x14ac:dyDescent="0.25">
      <c r="A2" t="s">
        <v>189</v>
      </c>
      <c r="B2" t="str">
        <f>_xlfn.XLOOKUP(A2, opponents_table!D:D, opponents_table!B:B, "", 0)</f>
        <v/>
      </c>
    </row>
    <row r="3" spans="1:2" x14ac:dyDescent="0.25">
      <c r="A3" t="s">
        <v>190</v>
      </c>
      <c r="B3" t="str">
        <f>_xlfn.XLOOKUP(A3, opponents_table!D:D, opponents_table!B:B, "", 0)</f>
        <v>Fossil Expert Jonathan</v>
      </c>
    </row>
    <row r="4" spans="1:2" x14ac:dyDescent="0.25">
      <c r="A4" t="s">
        <v>191</v>
      </c>
      <c r="B4" t="str">
        <f>_xlfn.XLOOKUP(A4, opponents_table!D:D, opponents_table!B:B, "", 0)</f>
        <v/>
      </c>
    </row>
    <row r="5" spans="1:2" x14ac:dyDescent="0.25">
      <c r="A5" t="s">
        <v>192</v>
      </c>
      <c r="B5" t="str">
        <f>_xlfn.XLOOKUP(A5, opponents_table!D:D, opponents_table!B:B, "", 0)</f>
        <v>Psychic Nova</v>
      </c>
    </row>
    <row r="6" spans="1:2" x14ac:dyDescent="0.25">
      <c r="A6" t="s">
        <v>193</v>
      </c>
      <c r="B6" t="str">
        <f>_xlfn.XLOOKUP(A6, opponents_table!D:D, opponents_table!B:B, "", 0)</f>
        <v/>
      </c>
    </row>
    <row r="7" spans="1:2" x14ac:dyDescent="0.25">
      <c r="A7" t="s">
        <v>194</v>
      </c>
      <c r="B7" t="str">
        <f>_xlfn.XLOOKUP(A7, opponents_table!D:D, opponents_table!B:B, "", 0)</f>
        <v/>
      </c>
    </row>
    <row r="8" spans="1:2" x14ac:dyDescent="0.25">
      <c r="A8" t="s">
        <v>195</v>
      </c>
      <c r="B8" t="str">
        <f>_xlfn.XLOOKUP(A8, opponents_table!D:D, opponents_table!B:B, "", 0)</f>
        <v>Rocket Exec Petrel</v>
      </c>
    </row>
    <row r="9" spans="1:2" x14ac:dyDescent="0.25">
      <c r="A9" t="s">
        <v>196</v>
      </c>
      <c r="B9" t="str">
        <f>_xlfn.XLOOKUP(A9, opponents_table!D:D, opponents_table!B:B, "", 0)</f>
        <v/>
      </c>
    </row>
    <row r="10" spans="1:2" x14ac:dyDescent="0.25">
      <c r="A10" t="s">
        <v>197</v>
      </c>
      <c r="B10" t="str">
        <f>_xlfn.XLOOKUP(A10, opponents_table!D:D, opponents_table!B:B, "", 0)</f>
        <v/>
      </c>
    </row>
    <row r="11" spans="1:2" x14ac:dyDescent="0.25">
      <c r="A11" t="s">
        <v>198</v>
      </c>
      <c r="B11" t="str">
        <f>_xlfn.XLOOKUP(A11, opponents_table!D:D, opponents_table!B:B, "", 0)</f>
        <v/>
      </c>
    </row>
    <row r="12" spans="1:2" x14ac:dyDescent="0.25">
      <c r="A12" t="s">
        <v>199</v>
      </c>
      <c r="B12" t="str">
        <f>_xlfn.XLOOKUP(A12, opponents_table!D:D, opponents_table!B:B, "", 0)</f>
        <v/>
      </c>
    </row>
    <row r="13" spans="1:2" x14ac:dyDescent="0.25">
      <c r="A13" t="s">
        <v>200</v>
      </c>
      <c r="B13" t="str">
        <f>_xlfn.XLOOKUP(A13, opponents_table!D:D, opponents_table!B:B, "", 0)</f>
        <v/>
      </c>
    </row>
    <row r="14" spans="1:2" x14ac:dyDescent="0.25">
      <c r="A14" t="s">
        <v>201</v>
      </c>
      <c r="B14" t="str">
        <f>_xlfn.XLOOKUP(A14, opponents_table!D:D, opponents_table!B:B, "", 0)</f>
        <v/>
      </c>
    </row>
    <row r="15" spans="1:2" x14ac:dyDescent="0.25">
      <c r="A15" t="s">
        <v>202</v>
      </c>
      <c r="B15" t="str">
        <f>_xlfn.XLOOKUP(A15, opponents_table!D:D, opponents_table!B:B, "", 0)</f>
        <v>Young Twin Nella</v>
      </c>
    </row>
    <row r="16" spans="1:2" x14ac:dyDescent="0.25">
      <c r="A16" t="s">
        <v>203</v>
      </c>
      <c r="B16" t="str">
        <f>_xlfn.XLOOKUP(A16, opponents_table!D:D, opponents_table!B:B, "", 0)</f>
        <v>Aromagirl Penelope</v>
      </c>
    </row>
    <row r="17" spans="1:2" x14ac:dyDescent="0.25">
      <c r="A17" t="s">
        <v>204</v>
      </c>
      <c r="B17" t="str">
        <f>_xlfn.XLOOKUP(A17, opponents_table!D:D, opponents_table!B:B, "", 0)</f>
        <v>Card Elder Rayne</v>
      </c>
    </row>
    <row r="18" spans="1:2" x14ac:dyDescent="0.25">
      <c r="A18" t="s">
        <v>205</v>
      </c>
      <c r="B18" t="str">
        <f>_xlfn.XLOOKUP(A18, opponents_table!D:D, opponents_table!B:B, "", 0)</f>
        <v>Swimmer Bibi</v>
      </c>
    </row>
    <row r="19" spans="1:2" x14ac:dyDescent="0.25">
      <c r="A19" t="s">
        <v>206</v>
      </c>
      <c r="B19" t="str">
        <f>_xlfn.XLOOKUP(A19, opponents_table!D:D, opponents_table!B:B, "", 0)</f>
        <v/>
      </c>
    </row>
    <row r="20" spans="1:2" x14ac:dyDescent="0.25">
      <c r="A20" t="s">
        <v>207</v>
      </c>
      <c r="B20" t="str">
        <f>_xlfn.XLOOKUP(A20, opponents_table!D:D, opponents_table!B:B, "", 0)</f>
        <v>Rocket Exec Archer</v>
      </c>
    </row>
    <row r="21" spans="1:2" x14ac:dyDescent="0.25">
      <c r="A21" t="s">
        <v>208</v>
      </c>
      <c r="B21" t="str">
        <f>_xlfn.XLOOKUP(A21, opponents_table!D:D, opponents_table!B:B, "", 0)</f>
        <v/>
      </c>
    </row>
    <row r="22" spans="1:2" x14ac:dyDescent="0.25">
      <c r="A22" t="s">
        <v>209</v>
      </c>
      <c r="B22" t="str">
        <f>_xlfn.XLOOKUP(A22, opponents_table!D:D, opponents_table!B:B, "", 0)</f>
        <v/>
      </c>
    </row>
    <row r="23" spans="1:2" x14ac:dyDescent="0.25">
      <c r="A23" t="s">
        <v>210</v>
      </c>
      <c r="B23" t="str">
        <f>_xlfn.XLOOKUP(A23, opponents_table!D:D, opponents_table!B:B, "", 0)</f>
        <v/>
      </c>
    </row>
    <row r="24" spans="1:2" x14ac:dyDescent="0.25">
      <c r="A24" t="s">
        <v>211</v>
      </c>
      <c r="B24" t="str">
        <f>_xlfn.XLOOKUP(A24, opponents_table!D:D, opponents_table!B:B, "", 0)</f>
        <v/>
      </c>
    </row>
    <row r="25" spans="1:2" x14ac:dyDescent="0.25">
      <c r="A25" t="s">
        <v>212</v>
      </c>
      <c r="B25" t="str">
        <f>_xlfn.XLOOKUP(A25, opponents_table!D:D, opponents_table!B:B, "", 0)</f>
        <v/>
      </c>
    </row>
    <row r="26" spans="1:2" x14ac:dyDescent="0.25">
      <c r="A26" t="s">
        <v>213</v>
      </c>
      <c r="B26" t="str">
        <f>_xlfn.XLOOKUP(A26, opponents_table!D:D, opponents_table!B:B, "", 0)</f>
        <v>Gardener Callum</v>
      </c>
    </row>
    <row r="27" spans="1:2" x14ac:dyDescent="0.25">
      <c r="A27" t="s">
        <v>214</v>
      </c>
      <c r="B27" t="str">
        <f>_xlfn.XLOOKUP(A27, opponents_table!D:D, opponents_table!B:B, "", 0)</f>
        <v>Young Twin Anna</v>
      </c>
    </row>
    <row r="28" spans="1:2" x14ac:dyDescent="0.25">
      <c r="A28" t="s">
        <v>215</v>
      </c>
      <c r="B28" t="str">
        <f>_xlfn.XLOOKUP(A28, opponents_table!D:D, opponents_table!B:B, "", 0)</f>
        <v>Bug Catcher Alex</v>
      </c>
    </row>
    <row r="29" spans="1:2" x14ac:dyDescent="0.25">
      <c r="A29" t="s">
        <v>216</v>
      </c>
      <c r="B29" t="str">
        <f>_xlfn.XLOOKUP(A29, opponents_table!D:D, opponents_table!B:B, "", 0)</f>
        <v/>
      </c>
    </row>
    <row r="30" spans="1:2" x14ac:dyDescent="0.25">
      <c r="A30" t="s">
        <v>217</v>
      </c>
      <c r="B30" t="str">
        <f>_xlfn.XLOOKUP(A30, opponents_table!D:D, opponents_table!B:B, "", 0)</f>
        <v/>
      </c>
    </row>
    <row r="31" spans="1:2" x14ac:dyDescent="0.25">
      <c r="A31" t="s">
        <v>218</v>
      </c>
      <c r="B31" t="str">
        <f>_xlfn.XLOOKUP(A31, opponents_table!D:D, opponents_table!B:B, "", 0)</f>
        <v/>
      </c>
    </row>
    <row r="32" spans="1:2" x14ac:dyDescent="0.25">
      <c r="A32" t="s">
        <v>219</v>
      </c>
      <c r="B32" t="str">
        <f>_xlfn.XLOOKUP(A32, opponents_table!D:D, opponents_table!B:B, "", 0)</f>
        <v/>
      </c>
    </row>
    <row r="33" spans="1:2" x14ac:dyDescent="0.25">
      <c r="A33" t="s">
        <v>220</v>
      </c>
      <c r="B33" t="str">
        <f>_xlfn.XLOOKUP(A33, opponents_table!D:D, opponents_table!B:B, "", 0)</f>
        <v/>
      </c>
    </row>
    <row r="34" spans="1:2" x14ac:dyDescent="0.25">
      <c r="A34" t="s">
        <v>221</v>
      </c>
      <c r="B34" t="str">
        <f>_xlfn.XLOOKUP(A34, opponents_table!D:D, opponents_table!B:B, "", 0)</f>
        <v/>
      </c>
    </row>
    <row r="35" spans="1:2" x14ac:dyDescent="0.25">
      <c r="A35" t="s">
        <v>222</v>
      </c>
      <c r="B35" t="str">
        <f>_xlfn.XLOOKUP(A35, opponents_table!D:D, opponents_table!B:B, "", 0)</f>
        <v/>
      </c>
    </row>
    <row r="36" spans="1:2" x14ac:dyDescent="0.25">
      <c r="A36" t="s">
        <v>223</v>
      </c>
      <c r="B36" t="str">
        <f>_xlfn.XLOOKUP(A36, opponents_table!D:D, opponents_table!B:B, "", 0)</f>
        <v>Card Expert Nathan</v>
      </c>
    </row>
    <row r="37" spans="1:2" x14ac:dyDescent="0.25">
      <c r="A37" t="s">
        <v>224</v>
      </c>
      <c r="B37" t="str">
        <f>_xlfn.XLOOKUP(A37, opponents_table!D:D, opponents_table!B:B, "", 0)</f>
        <v>Shady Character Bernard</v>
      </c>
    </row>
    <row r="38" spans="1:2" x14ac:dyDescent="0.25">
      <c r="A38" t="s">
        <v>225</v>
      </c>
      <c r="B38" t="str">
        <f>_xlfn.XLOOKUP(A38, opponents_table!D:D, opponents_table!B:B, "", 0)</f>
        <v/>
      </c>
    </row>
    <row r="39" spans="1:2" x14ac:dyDescent="0.25">
      <c r="A39" t="s">
        <v>226</v>
      </c>
      <c r="B39" t="str">
        <f>_xlfn.XLOOKUP(A39, opponents_table!D:D, opponents_table!B:B, "", 0)</f>
        <v/>
      </c>
    </row>
    <row r="40" spans="1:2" x14ac:dyDescent="0.25">
      <c r="A40" t="s">
        <v>227</v>
      </c>
      <c r="B40" t="str">
        <f>_xlfn.XLOOKUP(A40, opponents_table!D:D, opponents_table!B:B, "", 0)</f>
        <v/>
      </c>
    </row>
    <row r="41" spans="1:2" x14ac:dyDescent="0.25">
      <c r="A41" t="s">
        <v>228</v>
      </c>
      <c r="B41" t="str">
        <f>_xlfn.XLOOKUP(A41, opponents_table!D:D, opponents_table!B:B, "", 0)</f>
        <v/>
      </c>
    </row>
    <row r="42" spans="1:2" x14ac:dyDescent="0.25">
      <c r="A42" t="s">
        <v>229</v>
      </c>
      <c r="B42" t="str">
        <f>_xlfn.XLOOKUP(A42, opponents_table!D:D, opponents_table!B:B, "", 0)</f>
        <v/>
      </c>
    </row>
    <row r="43" spans="1:2" x14ac:dyDescent="0.25">
      <c r="A43" t="s">
        <v>230</v>
      </c>
      <c r="B43" t="str">
        <f>_xlfn.XLOOKUP(A43, opponents_table!D:D, opponents_table!B:B, "", 0)</f>
        <v/>
      </c>
    </row>
    <row r="44" spans="1:2" x14ac:dyDescent="0.25">
      <c r="A44" t="s">
        <v>231</v>
      </c>
      <c r="B44" t="str">
        <f>_xlfn.XLOOKUP(A44, opponents_table!D:D, opponents_table!B:B, "", 0)</f>
        <v>Card Expert Ruby</v>
      </c>
    </row>
    <row r="45" spans="1:2" x14ac:dyDescent="0.25">
      <c r="A45" t="s">
        <v>232</v>
      </c>
      <c r="B45" t="str">
        <f>_xlfn.XLOOKUP(A45, opponents_table!D:D, opponents_table!B:B, "", 0)</f>
        <v/>
      </c>
    </row>
    <row r="46" spans="1:2" x14ac:dyDescent="0.25">
      <c r="A46" t="s">
        <v>233</v>
      </c>
      <c r="B46" t="str">
        <f>_xlfn.XLOOKUP(A46, opponents_table!D:D, opponents_table!B:B, "", 0)</f>
        <v/>
      </c>
    </row>
    <row r="47" spans="1:2" x14ac:dyDescent="0.25">
      <c r="A47" t="s">
        <v>234</v>
      </c>
      <c r="B47" t="str">
        <f>_xlfn.XLOOKUP(A47, opponents_table!D:D, opponents_table!B:B, "", 0)</f>
        <v/>
      </c>
    </row>
    <row r="48" spans="1:2" x14ac:dyDescent="0.25">
      <c r="A48" t="s">
        <v>235</v>
      </c>
      <c r="B48" t="str">
        <f>_xlfn.XLOOKUP(A48, opponents_table!D:D, opponents_table!B:B, "", 0)</f>
        <v/>
      </c>
    </row>
    <row r="49" spans="1:2" x14ac:dyDescent="0.25">
      <c r="A49" t="s">
        <v>236</v>
      </c>
      <c r="B49" t="str">
        <f>_xlfn.XLOOKUP(A49, opponents_table!D:D, opponents_table!B:B, "", 0)</f>
        <v/>
      </c>
    </row>
    <row r="50" spans="1:2" x14ac:dyDescent="0.25">
      <c r="A50" t="s">
        <v>237</v>
      </c>
      <c r="B50" t="str">
        <f>_xlfn.XLOOKUP(A50, opponents_table!D:D, opponents_table!B:B, "", 0)</f>
        <v/>
      </c>
    </row>
    <row r="51" spans="1:2" x14ac:dyDescent="0.25">
      <c r="A51" t="s">
        <v>238</v>
      </c>
      <c r="B51" t="str">
        <f>_xlfn.XLOOKUP(A51, opponents_table!D:D, opponents_table!B:B, "", 0)</f>
        <v>Tourist Alissa</v>
      </c>
    </row>
    <row r="52" spans="1:2" x14ac:dyDescent="0.25">
      <c r="A52" t="s">
        <v>239</v>
      </c>
      <c r="B52" t="str">
        <f>_xlfn.XLOOKUP(A52, opponents_table!D:D, opponents_table!B:B, "", 0)</f>
        <v/>
      </c>
    </row>
    <row r="53" spans="1:2" x14ac:dyDescent="0.25">
      <c r="A53" t="s">
        <v>240</v>
      </c>
      <c r="B53" t="str">
        <f>_xlfn.XLOOKUP(A53, opponents_table!D:D, opponents_table!B:B, "", 0)</f>
        <v/>
      </c>
    </row>
    <row r="54" spans="1:2" x14ac:dyDescent="0.25">
      <c r="A54" t="s">
        <v>241</v>
      </c>
      <c r="B54" t="str">
        <f>_xlfn.XLOOKUP(A54, opponents_table!D:D, opponents_table!B:B, "", 0)</f>
        <v/>
      </c>
    </row>
    <row r="55" spans="1:2" x14ac:dyDescent="0.25">
      <c r="A55" t="s">
        <v>242</v>
      </c>
      <c r="B55" t="str">
        <f>_xlfn.XLOOKUP(A55, opponents_table!D:D, opponents_table!B:B, "", 0)</f>
        <v/>
      </c>
    </row>
    <row r="56" spans="1:2" x14ac:dyDescent="0.25">
      <c r="A56" t="s">
        <v>243</v>
      </c>
      <c r="B56" t="str">
        <f>_xlfn.XLOOKUP(A56, opponents_table!D:D, opponents_table!B:B, "", 0)</f>
        <v/>
      </c>
    </row>
    <row r="57" spans="1:2" x14ac:dyDescent="0.25">
      <c r="A57" t="s">
        <v>244</v>
      </c>
      <c r="B57" t="str">
        <f>_xlfn.XLOOKUP(A57, opponents_table!D:D, opponents_table!B:B, "", 0)</f>
        <v>Old Traveller Cliff</v>
      </c>
    </row>
    <row r="58" spans="1:2" x14ac:dyDescent="0.25">
      <c r="A58" t="s">
        <v>245</v>
      </c>
      <c r="B58" t="str">
        <f>_xlfn.XLOOKUP(A58, opponents_table!D:D, opponents_table!B:B, "", 0)</f>
        <v/>
      </c>
    </row>
    <row r="59" spans="1:2" x14ac:dyDescent="0.25">
      <c r="A59" t="s">
        <v>246</v>
      </c>
      <c r="B59" t="str">
        <f>_xlfn.XLOOKUP(A59, opponents_table!D:D, opponents_table!B:B, "", 0)</f>
        <v/>
      </c>
    </row>
    <row r="60" spans="1:2" x14ac:dyDescent="0.25">
      <c r="A60" t="s">
        <v>247</v>
      </c>
      <c r="B60" t="str">
        <f>_xlfn.XLOOKUP(A60, opponents_table!D:D, opponents_table!B:B, "", 0)</f>
        <v/>
      </c>
    </row>
    <row r="61" spans="1:2" x14ac:dyDescent="0.25">
      <c r="A61" t="s">
        <v>248</v>
      </c>
      <c r="B61" t="str">
        <f>_xlfn.XLOOKUP(A61, opponents_table!D:D, opponents_table!B:B, "", 0)</f>
        <v/>
      </c>
    </row>
    <row r="62" spans="1:2" x14ac:dyDescent="0.25">
      <c r="A62" t="s">
        <v>249</v>
      </c>
      <c r="B62" t="str">
        <f>_xlfn.XLOOKUP(A62, opponents_table!D:D, opponents_table!B:B, "", 0)</f>
        <v/>
      </c>
    </row>
    <row r="63" spans="1:2" x14ac:dyDescent="0.25">
      <c r="A63" t="s">
        <v>250</v>
      </c>
      <c r="B63" t="str">
        <f>_xlfn.XLOOKUP(A63, opponents_table!D:D, opponents_table!B:B, "", 0)</f>
        <v/>
      </c>
    </row>
    <row r="64" spans="1:2" x14ac:dyDescent="0.25">
      <c r="A64" t="s">
        <v>251</v>
      </c>
      <c r="B64" t="str">
        <f>_xlfn.XLOOKUP(A64, opponents_table!D:D, opponents_table!B:B, "", 0)</f>
        <v/>
      </c>
    </row>
    <row r="65" spans="1:2" x14ac:dyDescent="0.25">
      <c r="A65" t="s">
        <v>252</v>
      </c>
      <c r="B65" t="str">
        <f>_xlfn.XLOOKUP(A65, opponents_table!D:D, opponents_table!B:B, "", 0)</f>
        <v/>
      </c>
    </row>
    <row r="66" spans="1:2" x14ac:dyDescent="0.25">
      <c r="A66" t="s">
        <v>253</v>
      </c>
      <c r="B66" t="str">
        <f>_xlfn.XLOOKUP(A66, opponents_table!D:D, opponents_table!B:B, "", 0)</f>
        <v>Swimmer Melissa</v>
      </c>
    </row>
    <row r="67" spans="1:2" x14ac:dyDescent="0.25">
      <c r="A67" t="s">
        <v>254</v>
      </c>
      <c r="B67" t="str">
        <f>_xlfn.XLOOKUP(A67, opponents_table!D:D, opponents_table!B:B, "", 0)</f>
        <v/>
      </c>
    </row>
    <row r="68" spans="1:2" x14ac:dyDescent="0.25">
      <c r="A68" t="s">
        <v>255</v>
      </c>
      <c r="B68" t="str">
        <f>_xlfn.XLOOKUP(A68, opponents_table!D:D, opponents_table!B:B, "", 0)</f>
        <v/>
      </c>
    </row>
    <row r="69" spans="1:2" x14ac:dyDescent="0.25">
      <c r="A69" t="s">
        <v>256</v>
      </c>
      <c r="B69" t="str">
        <f>_xlfn.XLOOKUP(A69, opponents_table!D:D, opponents_table!B:B, "", 0)</f>
        <v/>
      </c>
    </row>
    <row r="70" spans="1:2" x14ac:dyDescent="0.25">
      <c r="A70" t="s">
        <v>257</v>
      </c>
      <c r="B70" t="str">
        <f>_xlfn.XLOOKUP(A70, opponents_table!D:D, opponents_table!B:B, "", 0)</f>
        <v>Beach Kid Timothy</v>
      </c>
    </row>
    <row r="71" spans="1:2" x14ac:dyDescent="0.25">
      <c r="A71" t="s">
        <v>258</v>
      </c>
      <c r="B71" t="str">
        <f>_xlfn.XLOOKUP(A71, opponents_table!D:D, opponents_table!B:B, "", 0)</f>
        <v/>
      </c>
    </row>
    <row r="72" spans="1:2" x14ac:dyDescent="0.25">
      <c r="A72" t="s">
        <v>259</v>
      </c>
      <c r="B72" t="str">
        <f>_xlfn.XLOOKUP(A72, opponents_table!D:D, opponents_table!B:B, "", 0)</f>
        <v>Birdspotter Tamsin</v>
      </c>
    </row>
    <row r="73" spans="1:2" x14ac:dyDescent="0.25">
      <c r="A73" t="s">
        <v>260</v>
      </c>
      <c r="B73" t="str">
        <f>_xlfn.XLOOKUP(A73, opponents_table!D:D, opponents_table!B:B, "", 0)</f>
        <v/>
      </c>
    </row>
    <row r="74" spans="1:2" x14ac:dyDescent="0.25">
      <c r="A74" t="s">
        <v>261</v>
      </c>
      <c r="B74" t="str">
        <f>_xlfn.XLOOKUP(A74, opponents_table!D:D, opponents_table!B:B, "", 0)</f>
        <v/>
      </c>
    </row>
    <row r="75" spans="1:2" x14ac:dyDescent="0.25">
      <c r="A75" t="s">
        <v>262</v>
      </c>
      <c r="B75" t="str">
        <f>_xlfn.XLOOKUP(A75, opponents_table!D:D, opponents_table!B:B, "", 0)</f>
        <v>Rocket Exec Proton</v>
      </c>
    </row>
    <row r="76" spans="1:2" x14ac:dyDescent="0.25">
      <c r="A76" t="s">
        <v>263</v>
      </c>
      <c r="B76" t="str">
        <f>_xlfn.XLOOKUP(A76, opponents_table!D:D, opponents_table!B:B, "", 0)</f>
        <v/>
      </c>
    </row>
    <row r="77" spans="1:2" x14ac:dyDescent="0.25">
      <c r="A77" t="s">
        <v>264</v>
      </c>
      <c r="B77" t="str">
        <f>_xlfn.XLOOKUP(A77, opponents_table!D:D, opponents_table!B:B, "", 0)</f>
        <v/>
      </c>
    </row>
    <row r="78" spans="1:2" x14ac:dyDescent="0.25">
      <c r="A78" t="s">
        <v>265</v>
      </c>
      <c r="B78" t="str">
        <f>_xlfn.XLOOKUP(A78, opponents_table!D:D, opponents_table!B:B, "", 0)</f>
        <v/>
      </c>
    </row>
    <row r="79" spans="1:2" x14ac:dyDescent="0.25">
      <c r="A79" t="s">
        <v>266</v>
      </c>
      <c r="B79" t="str">
        <f>_xlfn.XLOOKUP(A79, opponents_table!D:D, opponents_table!B:B, "", 0)</f>
        <v>Tourist Edmund</v>
      </c>
    </row>
    <row r="80" spans="1:2" x14ac:dyDescent="0.25">
      <c r="A80" t="s">
        <v>267</v>
      </c>
      <c r="B80" t="str">
        <f>_xlfn.XLOOKUP(A80, opponents_table!D:D, opponents_table!B:B, "", 0)</f>
        <v>Schoolboy Adam</v>
      </c>
    </row>
    <row r="81" spans="1:2" x14ac:dyDescent="0.25">
      <c r="A81" t="s">
        <v>268</v>
      </c>
      <c r="B81" t="str">
        <f>_xlfn.XLOOKUP(A81, opponents_table!D:D, opponents_table!B:B, "", 0)</f>
        <v>Hiker Ben</v>
      </c>
    </row>
    <row r="82" spans="1:2" x14ac:dyDescent="0.25">
      <c r="A82" t="s">
        <v>269</v>
      </c>
      <c r="B82" t="str">
        <f>_xlfn.XLOOKUP(A82, opponents_table!D:D, opponents_table!B:B, "", 0)</f>
        <v/>
      </c>
    </row>
    <row r="83" spans="1:2" x14ac:dyDescent="0.25">
      <c r="A83" t="s">
        <v>270</v>
      </c>
      <c r="B83" t="str">
        <f>_xlfn.XLOOKUP(A83, opponents_table!D:D, opponents_table!B:B, "", 0)</f>
        <v/>
      </c>
    </row>
    <row r="84" spans="1:2" x14ac:dyDescent="0.25">
      <c r="A84" t="s">
        <v>271</v>
      </c>
      <c r="B84" t="str">
        <f>_xlfn.XLOOKUP(A84, opponents_table!D:D, opponents_table!B:B, "", 0)</f>
        <v/>
      </c>
    </row>
    <row r="85" spans="1:2" x14ac:dyDescent="0.25">
      <c r="A85" t="s">
        <v>272</v>
      </c>
      <c r="B85" t="str">
        <f>_xlfn.XLOOKUP(A85, opponents_table!D:D, opponents_table!B:B, "", 0)</f>
        <v>Rocket Exec Ariana</v>
      </c>
    </row>
    <row r="86" spans="1:2" x14ac:dyDescent="0.25">
      <c r="A86" t="s">
        <v>273</v>
      </c>
      <c r="B86" t="str">
        <f>_xlfn.XLOOKUP(A86, opponents_table!D:D, opponents_table!B:B, "", 0)</f>
        <v/>
      </c>
    </row>
    <row r="87" spans="1:2" x14ac:dyDescent="0.25">
      <c r="A87" t="s">
        <v>274</v>
      </c>
      <c r="B87" t="str">
        <f>_xlfn.XLOOKUP(A87, opponents_table!D:D, opponents_table!B:B, "", 0)</f>
        <v/>
      </c>
    </row>
    <row r="88" spans="1:2" x14ac:dyDescent="0.25">
      <c r="A88" t="s">
        <v>275</v>
      </c>
      <c r="B88" t="str">
        <f>_xlfn.XLOOKUP(A88, opponents_table!D:D, opponents_table!B:B, "", 0)</f>
        <v/>
      </c>
    </row>
    <row r="89" spans="1:2" x14ac:dyDescent="0.25">
      <c r="A89" t="s">
        <v>276</v>
      </c>
      <c r="B89" t="str">
        <f>_xlfn.XLOOKUP(A89, opponents_table!D:D, opponents_table!B:B, "", 0)</f>
        <v/>
      </c>
    </row>
    <row r="90" spans="1:2" x14ac:dyDescent="0.25">
      <c r="A90" t="s">
        <v>277</v>
      </c>
      <c r="B90" t="str">
        <f>_xlfn.XLOOKUP(A90, opponents_table!D:D, opponents_table!B:B, "", 0)</f>
        <v>Painter Jericho</v>
      </c>
    </row>
    <row r="91" spans="1:2" x14ac:dyDescent="0.25">
      <c r="A91" t="s">
        <v>278</v>
      </c>
      <c r="B91" t="str">
        <f>_xlfn.XLOOKUP(A91, opponents_table!D:D, opponents_table!B:B, "", 0)</f>
        <v/>
      </c>
    </row>
    <row r="92" spans="1:2" x14ac:dyDescent="0.25">
      <c r="A92" t="s">
        <v>279</v>
      </c>
      <c r="B92" t="str">
        <f>_xlfn.XLOOKUP(A92, opponents_table!D:D, opponents_table!B:B, "", 0)</f>
        <v/>
      </c>
    </row>
    <row r="93" spans="1:2" x14ac:dyDescent="0.25">
      <c r="A93" t="s">
        <v>280</v>
      </c>
      <c r="B93" t="str">
        <f>_xlfn.XLOOKUP(A93, opponents_table!D:D, opponents_table!B:B, "", 0)</f>
        <v/>
      </c>
    </row>
    <row r="94" spans="1:2" x14ac:dyDescent="0.25">
      <c r="A94" t="s">
        <v>281</v>
      </c>
      <c r="B94" t="str">
        <f>_xlfn.XLOOKUP(A94, opponents_table!D:D, opponents_table!B:B, "", 0)</f>
        <v>Young Sage Kai</v>
      </c>
    </row>
    <row r="95" spans="1:2" x14ac:dyDescent="0.25">
      <c r="A95" t="s">
        <v>282</v>
      </c>
      <c r="B95" t="str">
        <f>_xlfn.XLOOKUP(A95, opponents_table!D:D, opponents_table!B:B, "", 0)</f>
        <v>Light Engineer Chase</v>
      </c>
    </row>
    <row r="96" spans="1:2" x14ac:dyDescent="0.25">
      <c r="A96" t="s">
        <v>283</v>
      </c>
      <c r="B96" t="str">
        <f>_xlfn.XLOOKUP(A96, opponents_table!D:D, opponents_table!B:B, "", 0)</f>
        <v/>
      </c>
    </row>
    <row r="97" spans="1:2" x14ac:dyDescent="0.25">
      <c r="A97" t="s">
        <v>284</v>
      </c>
      <c r="B97" t="str">
        <f>_xlfn.XLOOKUP(A97, opponents_table!D:D, opponents_table!B:B, "", 0)</f>
        <v/>
      </c>
    </row>
    <row r="98" spans="1:2" x14ac:dyDescent="0.25">
      <c r="A98" t="s">
        <v>285</v>
      </c>
      <c r="B98" t="str">
        <f>_xlfn.XLOOKUP(A98, opponents_table!D:D, opponents_table!B:B, "", 0)</f>
        <v/>
      </c>
    </row>
    <row r="99" spans="1:2" x14ac:dyDescent="0.25">
      <c r="A99" t="s">
        <v>286</v>
      </c>
      <c r="B99" t="str">
        <f>_xlfn.XLOOKUP(A99, opponents_table!D:D, opponents_table!B:B, "", 0)</f>
        <v/>
      </c>
    </row>
    <row r="100" spans="1:2" x14ac:dyDescent="0.25">
      <c r="A100" t="s">
        <v>287</v>
      </c>
      <c r="B100" t="str">
        <f>_xlfn.XLOOKUP(A100, opponents_table!D:D, opponents_table!B:B, "", 0)</f>
        <v/>
      </c>
    </row>
    <row r="101" spans="1:2" x14ac:dyDescent="0.25">
      <c r="A101" t="s">
        <v>288</v>
      </c>
      <c r="B101" t="str">
        <f>_xlfn.XLOOKUP(A101, opponents_table!D:D, opponents_table!B:B, "", 0)</f>
        <v/>
      </c>
    </row>
    <row r="102" spans="1:2" x14ac:dyDescent="0.25">
      <c r="A102" t="s">
        <v>289</v>
      </c>
      <c r="B102" t="str">
        <f>_xlfn.XLOOKUP(A102, opponents_table!D:D, opponents_table!B:B, "", 0)</f>
        <v/>
      </c>
    </row>
    <row r="103" spans="1:2" x14ac:dyDescent="0.25">
      <c r="A103" t="s">
        <v>290</v>
      </c>
      <c r="B103" t="str">
        <f>_xlfn.XLOOKUP(A103, opponents_table!D:D, opponents_table!B:B, "", 0)</f>
        <v>Ex Gym Leader Koga</v>
      </c>
    </row>
    <row r="104" spans="1:2" x14ac:dyDescent="0.25">
      <c r="A104" t="s">
        <v>291</v>
      </c>
      <c r="B104" t="str">
        <f>_xlfn.XLOOKUP(A104, opponents_table!D:D, opponents_table!B:B, "", 0)</f>
        <v>Ex Gym Leader Giovanni</v>
      </c>
    </row>
    <row r="105" spans="1:2" x14ac:dyDescent="0.25">
      <c r="A105" t="s">
        <v>292</v>
      </c>
      <c r="B105" t="str">
        <f>_xlfn.XLOOKUP(A105, opponents_table!D:D, opponents_table!B:B, "", 0)</f>
        <v>Gym Hero Giovanni</v>
      </c>
    </row>
    <row r="106" spans="1:2" x14ac:dyDescent="0.25">
      <c r="A106" t="s">
        <v>293</v>
      </c>
      <c r="B106" t="str">
        <f>_xlfn.XLOOKUP(A106, opponents_table!D:D, opponents_table!B:B, "", 0)</f>
        <v/>
      </c>
    </row>
    <row r="107" spans="1:2" x14ac:dyDescent="0.25">
      <c r="A107" t="s">
        <v>294</v>
      </c>
      <c r="B107" t="str">
        <f>_xlfn.XLOOKUP(A107, opponents_table!D:D, opponents_table!B:B, "", 0)</f>
        <v/>
      </c>
    </row>
    <row r="108" spans="1:2" x14ac:dyDescent="0.25">
      <c r="A108" t="s">
        <v>295</v>
      </c>
      <c r="B108" t="str">
        <f>_xlfn.XLOOKUP(A108, opponents_table!D:D, opponents_table!B:B, "", 0)</f>
        <v/>
      </c>
    </row>
    <row r="109" spans="1:2" x14ac:dyDescent="0.25">
      <c r="A109" t="s">
        <v>296</v>
      </c>
      <c r="B109" t="str">
        <f>_xlfn.XLOOKUP(A109, opponents_table!D:D, opponents_table!B:B, "", 0)</f>
        <v>Ex Gym Leader Brock</v>
      </c>
    </row>
    <row r="110" spans="1:2" x14ac:dyDescent="0.25">
      <c r="A110" t="s">
        <v>297</v>
      </c>
      <c r="B110" t="str">
        <f>_xlfn.XLOOKUP(A110, opponents_table!D:D, opponents_table!B:B, "", 0)</f>
        <v>Gym Hero Brock</v>
      </c>
    </row>
    <row r="111" spans="1:2" x14ac:dyDescent="0.25">
      <c r="A111" t="s">
        <v>298</v>
      </c>
      <c r="B111" t="str">
        <f>_xlfn.XLOOKUP(A111, opponents_table!D:D, opponents_table!B:B, "", 0)</f>
        <v>Ex Gym Leader Blaine</v>
      </c>
    </row>
    <row r="112" spans="1:2" x14ac:dyDescent="0.25">
      <c r="A112" t="s">
        <v>299</v>
      </c>
      <c r="B112" t="str">
        <f>_xlfn.XLOOKUP(A112, opponents_table!D:D, opponents_table!B:B, "", 0)</f>
        <v>Gym Hero Blaine</v>
      </c>
    </row>
    <row r="113" spans="1:2" x14ac:dyDescent="0.25">
      <c r="A113" t="s">
        <v>300</v>
      </c>
      <c r="B113" t="str">
        <f>_xlfn.XLOOKUP(A113, opponents_table!D:D, opponents_table!B:B, "", 0)</f>
        <v>Ex Gym Leader Erika</v>
      </c>
    </row>
    <row r="114" spans="1:2" x14ac:dyDescent="0.25">
      <c r="A114" t="s">
        <v>301</v>
      </c>
      <c r="B114" t="str">
        <f>_xlfn.XLOOKUP(A114, opponents_table!D:D, opponents_table!B:B, "", 0)</f>
        <v>Gym Hero Erika</v>
      </c>
    </row>
    <row r="115" spans="1:2" x14ac:dyDescent="0.25">
      <c r="A115" t="s">
        <v>302</v>
      </c>
      <c r="B115" t="str">
        <f>_xlfn.XLOOKUP(A115, opponents_table!D:D, opponents_table!B:B, "", 0)</f>
        <v>Ex Gym Leader Lt. Surge</v>
      </c>
    </row>
    <row r="116" spans="1:2" x14ac:dyDescent="0.25">
      <c r="A116" t="s">
        <v>303</v>
      </c>
      <c r="B116" t="str">
        <f>_xlfn.XLOOKUP(A116, opponents_table!D:D, opponents_table!B:B, "", 0)</f>
        <v>Gym Hero Lt. Surge</v>
      </c>
    </row>
    <row r="117" spans="1:2" x14ac:dyDescent="0.25">
      <c r="A117" t="s">
        <v>304</v>
      </c>
      <c r="B117" t="str">
        <f>_xlfn.XLOOKUP(A117, opponents_table!D:D, opponents_table!B:B, "", 0)</f>
        <v/>
      </c>
    </row>
    <row r="118" spans="1:2" x14ac:dyDescent="0.25">
      <c r="A118" t="s">
        <v>305</v>
      </c>
      <c r="B118" t="str">
        <f>_xlfn.XLOOKUP(A118, opponents_table!D:D, opponents_table!B:B, "", 0)</f>
        <v>Ex Gym Leader Sabrina</v>
      </c>
    </row>
    <row r="119" spans="1:2" x14ac:dyDescent="0.25">
      <c r="A119" t="s">
        <v>306</v>
      </c>
      <c r="B119" t="str">
        <f>_xlfn.XLOOKUP(A119, opponents_table!D:D, opponents_table!B:B, "", 0)</f>
        <v>Gym Hero Sabrina</v>
      </c>
    </row>
    <row r="120" spans="1:2" x14ac:dyDescent="0.25">
      <c r="A120" t="s">
        <v>307</v>
      </c>
      <c r="B120" t="str">
        <f>_xlfn.XLOOKUP(A120, opponents_table!D:D, opponents_table!B:B, "", 0)</f>
        <v>Ex Gym Leader Misty</v>
      </c>
    </row>
    <row r="121" spans="1:2" x14ac:dyDescent="0.25">
      <c r="A121" t="s">
        <v>308</v>
      </c>
      <c r="B121" t="str">
        <f>_xlfn.XLOOKUP(A121, opponents_table!D:D, opponents_table!B:B, "", 0)</f>
        <v>Gym Hero Misty</v>
      </c>
    </row>
    <row r="122" spans="1:2" x14ac:dyDescent="0.25">
      <c r="A122" t="s">
        <v>309</v>
      </c>
      <c r="B122" t="str">
        <f>_xlfn.XLOOKUP(A122, opponents_table!D:D, opponents_table!B:B, "", 0)</f>
        <v/>
      </c>
    </row>
    <row r="123" spans="1:2" x14ac:dyDescent="0.25">
      <c r="A123" t="s">
        <v>310</v>
      </c>
      <c r="B123" t="str">
        <f>_xlfn.XLOOKUP(A123, opponents_table!D:D, opponents_table!B:B, "", 0)</f>
        <v/>
      </c>
    </row>
    <row r="124" spans="1:2" x14ac:dyDescent="0.25">
      <c r="A124" t="s">
        <v>311</v>
      </c>
      <c r="B124" t="str">
        <f>_xlfn.XLOOKUP(A124, opponents_table!D:D, opponents_table!B:B, "", 0)</f>
        <v/>
      </c>
    </row>
    <row r="125" spans="1:2" x14ac:dyDescent="0.25">
      <c r="A125" t="s">
        <v>312</v>
      </c>
      <c r="B125" t="str">
        <f>_xlfn.XLOOKUP(A125, opponents_table!D:D, opponents_table!B:B, "", 0)</f>
        <v/>
      </c>
    </row>
    <row r="126" spans="1:2" x14ac:dyDescent="0.25">
      <c r="A126" t="s">
        <v>313</v>
      </c>
      <c r="B126" t="str">
        <f>_xlfn.XLOOKUP(A126, opponents_table!D:D, opponents_table!B:B, "", 0)</f>
        <v/>
      </c>
    </row>
    <row r="127" spans="1:2" x14ac:dyDescent="0.25">
      <c r="A127" t="s">
        <v>314</v>
      </c>
      <c r="B127" t="str">
        <f>_xlfn.XLOOKUP(A127, opponents_table!D:D, opponents_table!B:B, "", 0)</f>
        <v>Gambler Mick</v>
      </c>
    </row>
    <row r="128" spans="1:2" x14ac:dyDescent="0.25">
      <c r="A128" t="s">
        <v>315</v>
      </c>
      <c r="B128" t="str">
        <f>_xlfn.XLOOKUP(A128, opponents_table!D:D, opponents_table!B:B, "", 0)</f>
        <v/>
      </c>
    </row>
    <row r="129" spans="1:2" x14ac:dyDescent="0.25">
      <c r="A129" t="s">
        <v>316</v>
      </c>
      <c r="B129" t="str">
        <f>_xlfn.XLOOKUP(A129, opponents_table!D:D, opponents_table!B:B, "", 0)</f>
        <v/>
      </c>
    </row>
    <row r="130" spans="1:2" x14ac:dyDescent="0.25">
      <c r="A130" t="s">
        <v>317</v>
      </c>
      <c r="B130" t="str">
        <f>_xlfn.XLOOKUP(A130, opponents_table!D:D, opponents_table!B:B, "", 0)</f>
        <v/>
      </c>
    </row>
    <row r="131" spans="1:2" x14ac:dyDescent="0.25">
      <c r="A131" t="s">
        <v>318</v>
      </c>
      <c r="B131" t="str">
        <f>_xlfn.XLOOKUP(A131, opponents_table!D:D, opponents_table!B:B, "", 0)</f>
        <v/>
      </c>
    </row>
    <row r="132" spans="1:2" x14ac:dyDescent="0.25">
      <c r="A132" t="s">
        <v>319</v>
      </c>
      <c r="B132" t="str">
        <f>_xlfn.XLOOKUP(A132, opponents_table!D:D, opponents_table!B:B, "", 0)</f>
        <v/>
      </c>
    </row>
    <row r="133" spans="1:2" x14ac:dyDescent="0.25">
      <c r="A133" t="s">
        <v>320</v>
      </c>
      <c r="B133" t="str">
        <f>_xlfn.XLOOKUP(A133, opponents_table!D:D, opponents_table!B:B, "", 0)</f>
        <v/>
      </c>
    </row>
    <row r="134" spans="1:2" x14ac:dyDescent="0.25">
      <c r="A134" t="s">
        <v>321</v>
      </c>
      <c r="B134" t="str">
        <f>_xlfn.XLOOKUP(A134, opponents_table!D:D, opponents_table!B:B, "", 0)</f>
        <v/>
      </c>
    </row>
    <row r="135" spans="1:2" x14ac:dyDescent="0.25">
      <c r="A135" t="s">
        <v>322</v>
      </c>
      <c r="B135" t="str">
        <f>_xlfn.XLOOKUP(A135, opponents_table!D:D, opponents_table!B:B, "", 0)</f>
        <v/>
      </c>
    </row>
    <row r="136" spans="1:2" x14ac:dyDescent="0.25">
      <c r="A136" t="s">
        <v>323</v>
      </c>
      <c r="B136" t="str">
        <f>_xlfn.XLOOKUP(A136, opponents_table!D:D, opponents_table!B:B, "", 0)</f>
        <v/>
      </c>
    </row>
    <row r="137" spans="1:2" x14ac:dyDescent="0.25">
      <c r="A137" t="s">
        <v>324</v>
      </c>
      <c r="B137" t="str">
        <f>_xlfn.XLOOKUP(A137, opponents_table!D:D, opponents_table!B:B, "", 0)</f>
        <v/>
      </c>
    </row>
    <row r="138" spans="1:2" x14ac:dyDescent="0.25">
      <c r="A138" t="s">
        <v>325</v>
      </c>
      <c r="B138" t="str">
        <f>_xlfn.XLOOKUP(A138, opponents_table!D:D, opponents_table!B:B, "", 0)</f>
        <v/>
      </c>
    </row>
    <row r="139" spans="1:2" x14ac:dyDescent="0.25">
      <c r="A139" t="s">
        <v>326</v>
      </c>
      <c r="B139" t="str">
        <f>_xlfn.XLOOKUP(A139, opponents_table!D:D, opponents_table!B:B, "", 0)</f>
        <v/>
      </c>
    </row>
    <row r="140" spans="1:2" x14ac:dyDescent="0.25">
      <c r="A140" t="s">
        <v>327</v>
      </c>
      <c r="B140" t="str">
        <f>_xlfn.XLOOKUP(A140, opponents_table!D:D, opponents_table!B:B, "", 0)</f>
        <v/>
      </c>
    </row>
    <row r="141" spans="1:2" x14ac:dyDescent="0.25">
      <c r="A141" t="s">
        <v>328</v>
      </c>
      <c r="B141" t="str">
        <f>_xlfn.XLOOKUP(A141, opponents_table!D:D, opponents_table!B:B, "", 0)</f>
        <v/>
      </c>
    </row>
    <row r="142" spans="1:2" x14ac:dyDescent="0.25">
      <c r="A142" t="s">
        <v>329</v>
      </c>
      <c r="B142" t="str">
        <f>_xlfn.XLOOKUP(A142, opponents_table!D:D, opponents_table!B:B, "", 0)</f>
        <v>Ghost Whisperer Vera</v>
      </c>
    </row>
    <row r="143" spans="1:2" x14ac:dyDescent="0.25">
      <c r="A143" t="s">
        <v>330</v>
      </c>
      <c r="B143" t="str">
        <f>_xlfn.XLOOKUP(A143, opponents_table!D:D, opponents_table!B:B, "", 0)</f>
        <v>Hiker Matthew</v>
      </c>
    </row>
    <row r="144" spans="1:2" x14ac:dyDescent="0.25">
      <c r="A144" t="s">
        <v>331</v>
      </c>
      <c r="B144" t="str">
        <f>_xlfn.XLOOKUP(A144, opponents_table!D:D, opponents_table!B:B, "", 0)</f>
        <v/>
      </c>
    </row>
    <row r="145" spans="1:2" x14ac:dyDescent="0.25">
      <c r="A145" t="s">
        <v>332</v>
      </c>
      <c r="B145" t="str">
        <f>_xlfn.XLOOKUP(A145, opponents_table!D:D, opponents_table!B:B, "", 0)</f>
        <v/>
      </c>
    </row>
    <row r="146" spans="1:2" x14ac:dyDescent="0.25">
      <c r="A146" t="s">
        <v>333</v>
      </c>
      <c r="B146" t="str">
        <f>_xlfn.XLOOKUP(A146, opponents_table!D:D, opponents_table!B:B, "", 0)</f>
        <v>Doctor Mortimor</v>
      </c>
    </row>
    <row r="147" spans="1:2" x14ac:dyDescent="0.25">
      <c r="A147" t="s">
        <v>334</v>
      </c>
      <c r="B147" t="str">
        <f>_xlfn.XLOOKUP(A147, opponents_table!D:D, opponents_table!B:B, "", 0)</f>
        <v/>
      </c>
    </row>
    <row r="148" spans="1:2" x14ac:dyDescent="0.25">
      <c r="A148" t="s">
        <v>335</v>
      </c>
      <c r="B148" t="str">
        <f>_xlfn.XLOOKUP(A148, opponents_table!D:D, opponents_table!B:B, "", 0)</f>
        <v>Mad Scientist Leonard</v>
      </c>
    </row>
    <row r="149" spans="1:2" x14ac:dyDescent="0.25">
      <c r="A149" t="s">
        <v>336</v>
      </c>
      <c r="B149" t="str">
        <f>_xlfn.XLOOKUP(A149, opponents_table!D:D, opponents_table!B:B, "", 0)</f>
        <v>Lady Fiona</v>
      </c>
    </row>
    <row r="150" spans="1:2" x14ac:dyDescent="0.25">
      <c r="A150" t="s">
        <v>337</v>
      </c>
      <c r="B150" t="str">
        <f>_xlfn.XLOOKUP(A150, opponents_table!D:D, opponents_table!B:B, "", 0)</f>
        <v/>
      </c>
    </row>
    <row r="151" spans="1:2" x14ac:dyDescent="0.25">
      <c r="A151" t="s">
        <v>338</v>
      </c>
      <c r="B151" t="str">
        <f>_xlfn.XLOOKUP(A151, opponents_table!D:D, opponents_table!B:B, "", 0)</f>
        <v/>
      </c>
    </row>
    <row r="152" spans="1:2" x14ac:dyDescent="0.25">
      <c r="A152" t="s">
        <v>339</v>
      </c>
      <c r="B152" t="str">
        <f>_xlfn.XLOOKUP(A152, opponents_table!D:D, opponents_table!B:B, "", 0)</f>
        <v/>
      </c>
    </row>
    <row r="153" spans="1:2" x14ac:dyDescent="0.25">
      <c r="A153" t="s">
        <v>340</v>
      </c>
      <c r="B153" t="str">
        <f>_xlfn.XLOOKUP(A153, opponents_table!D:D, opponents_table!B:B, "", 0)</f>
        <v/>
      </c>
    </row>
    <row r="154" spans="1:2" x14ac:dyDescent="0.25">
      <c r="A154" t="s">
        <v>341</v>
      </c>
      <c r="B154" t="str">
        <f>_xlfn.XLOOKUP(A154, opponents_table!D:D, opponents_table!B:B, "", 0)</f>
        <v>Fisherman Gary</v>
      </c>
    </row>
    <row r="155" spans="1:2" x14ac:dyDescent="0.25">
      <c r="A155" t="s">
        <v>342</v>
      </c>
      <c r="B155" t="str">
        <f>_xlfn.XLOOKUP(A155, opponents_table!D:D, opponents_table!B:B, "", 0)</f>
        <v/>
      </c>
    </row>
    <row r="156" spans="1:2" x14ac:dyDescent="0.25">
      <c r="A156" t="s">
        <v>343</v>
      </c>
      <c r="B156" t="str">
        <f>_xlfn.XLOOKUP(A156, opponents_table!D:D, opponents_table!B:B, "", 0)</f>
        <v>Police Constable Floyd</v>
      </c>
    </row>
    <row r="157" spans="1:2" x14ac:dyDescent="0.25">
      <c r="A157" t="s">
        <v>344</v>
      </c>
      <c r="B157" t="str">
        <f>_xlfn.XLOOKUP(A157, opponents_table!D:D, opponents_table!B:B, "", 0)</f>
        <v/>
      </c>
    </row>
    <row r="158" spans="1:2" x14ac:dyDescent="0.25">
      <c r="A158" t="s">
        <v>345</v>
      </c>
      <c r="B158" t="str">
        <f>_xlfn.XLOOKUP(A158, opponents_table!D:D, opponents_table!B:B, "", 0)</f>
        <v/>
      </c>
    </row>
    <row r="159" spans="1:2" x14ac:dyDescent="0.25">
      <c r="A159" t="s">
        <v>346</v>
      </c>
      <c r="B159" t="str">
        <f>_xlfn.XLOOKUP(A159, opponents_table!D:D, opponents_table!B:B, "", 0)</f>
        <v>Card Elder Hamish</v>
      </c>
    </row>
    <row r="160" spans="1:2" x14ac:dyDescent="0.25">
      <c r="A160" t="s">
        <v>347</v>
      </c>
      <c r="B160" t="str">
        <f>_xlfn.XLOOKUP(A160, opponents_table!D:D, opponents_table!B:B, "", 0)</f>
        <v/>
      </c>
    </row>
    <row r="161" spans="1:2" x14ac:dyDescent="0.25">
      <c r="A161" t="s">
        <v>348</v>
      </c>
      <c r="B161" t="str">
        <f>_xlfn.XLOOKUP(A161, opponents_table!D:D, opponents_table!B:B, "", 0)</f>
        <v/>
      </c>
    </row>
    <row r="162" spans="1:2" x14ac:dyDescent="0.25">
      <c r="A162" t="s">
        <v>349</v>
      </c>
      <c r="B162" t="str">
        <f>_xlfn.XLOOKUP(A162, opponents_table!D:D, opponents_table!B:B, "", 0)</f>
        <v/>
      </c>
    </row>
    <row r="163" spans="1:2" x14ac:dyDescent="0.25">
      <c r="A163" t="s">
        <v>350</v>
      </c>
      <c r="B163" t="str">
        <f>_xlfn.XLOOKUP(A163, opponents_table!D:D, opponents_table!B:B, "", 0)</f>
        <v/>
      </c>
    </row>
    <row r="164" spans="1:2" x14ac:dyDescent="0.25">
      <c r="A164" t="s">
        <v>351</v>
      </c>
      <c r="B164" t="str">
        <f>_xlfn.XLOOKUP(A164, opponents_table!D:D, opponents_table!B:B, "", 0)</f>
        <v/>
      </c>
    </row>
    <row r="165" spans="1:2" x14ac:dyDescent="0.25">
      <c r="A165" t="s">
        <v>352</v>
      </c>
      <c r="B165" t="str">
        <f>_xlfn.XLOOKUP(A165, opponents_table!D:D, opponents_table!B:B, "", 0)</f>
        <v>Psychic Eli</v>
      </c>
    </row>
    <row r="166" spans="1:2" x14ac:dyDescent="0.25">
      <c r="A166" t="s">
        <v>353</v>
      </c>
      <c r="B166" t="str">
        <f>_xlfn.XLOOKUP(A166, opponents_table!D:D, opponents_table!B:B, "", 0)</f>
        <v/>
      </c>
    </row>
    <row r="167" spans="1:2" x14ac:dyDescent="0.25">
      <c r="A167" t="s">
        <v>354</v>
      </c>
      <c r="B167" t="str">
        <f>_xlfn.XLOOKUP(A167, opponents_table!D:D, opponents_table!B:B, "", 0)</f>
        <v>Nature Lover Erin</v>
      </c>
    </row>
    <row r="168" spans="1:2" x14ac:dyDescent="0.25">
      <c r="A168" t="s">
        <v>355</v>
      </c>
      <c r="B168" t="str">
        <f>_xlfn.XLOOKUP(A168, opponents_table!D:D, opponents_table!B:B, "", 0)</f>
        <v/>
      </c>
    </row>
    <row r="169" spans="1:2" x14ac:dyDescent="0.25">
      <c r="A169" t="s">
        <v>356</v>
      </c>
      <c r="B169" t="str">
        <f>_xlfn.XLOOKUP(A169, opponents_table!D:D, opponents_table!B:B, "", 0)</f>
        <v/>
      </c>
    </row>
    <row r="170" spans="1:2" x14ac:dyDescent="0.25">
      <c r="A170" t="s">
        <v>357</v>
      </c>
      <c r="B170" t="str">
        <f>_xlfn.XLOOKUP(A170, opponents_table!D:D, opponents_table!B:B, "", 0)</f>
        <v>Shady Character Owen</v>
      </c>
    </row>
    <row r="171" spans="1:2" x14ac:dyDescent="0.25">
      <c r="A171" t="s">
        <v>358</v>
      </c>
      <c r="B171" t="str">
        <f>_xlfn.XLOOKUP(A171, opponents_table!D:D, opponents_table!B:B, "", 0)</f>
        <v/>
      </c>
    </row>
    <row r="172" spans="1:2" x14ac:dyDescent="0.25">
      <c r="A172" t="s">
        <v>359</v>
      </c>
      <c r="B172" t="str">
        <f>_xlfn.XLOOKUP(A172, opponents_table!D:D, opponents_table!B:B, "", 0)</f>
        <v/>
      </c>
    </row>
    <row r="173" spans="1:2" x14ac:dyDescent="0.25">
      <c r="A173" t="s">
        <v>360</v>
      </c>
      <c r="B173" t="str">
        <f>_xlfn.XLOOKUP(A173, opponents_table!D:D, opponents_table!B:B, "", 0)</f>
        <v>Forest Ranger Tucker</v>
      </c>
    </row>
    <row r="174" spans="1:2" x14ac:dyDescent="0.25">
      <c r="A174" t="s">
        <v>361</v>
      </c>
      <c r="B174" t="str">
        <f>_xlfn.XLOOKUP(A174, opponents_table!D:D, opponents_table!B:B, "", 0)</f>
        <v>Gentleman Benedict</v>
      </c>
    </row>
    <row r="175" spans="1:2" x14ac:dyDescent="0.25">
      <c r="A175" t="s">
        <v>362</v>
      </c>
      <c r="B175" t="str">
        <f>_xlfn.XLOOKUP(A175, opponents_table!D:D, opponents_table!B:B, "", 0)</f>
        <v>Old Traveller Harold</v>
      </c>
    </row>
    <row r="176" spans="1:2" x14ac:dyDescent="0.25">
      <c r="A176" t="s">
        <v>363</v>
      </c>
      <c r="B176" t="str">
        <f>_xlfn.XLOOKUP(A176, opponents_table!D:D, opponents_table!B:B, "", 0)</f>
        <v/>
      </c>
    </row>
    <row r="177" spans="1:2" x14ac:dyDescent="0.25">
      <c r="A177" t="s">
        <v>364</v>
      </c>
      <c r="B177" t="str">
        <f>_xlfn.XLOOKUP(A177, opponents_table!D:D, opponents_table!B:B, "", 0)</f>
        <v/>
      </c>
    </row>
    <row r="178" spans="1:2" x14ac:dyDescent="0.25">
      <c r="A178" t="s">
        <v>365</v>
      </c>
      <c r="B178" t="str">
        <f>_xlfn.XLOOKUP(A178, opponents_table!D:D, opponents_table!B:B, "", 0)</f>
        <v/>
      </c>
    </row>
    <row r="179" spans="1:2" x14ac:dyDescent="0.25">
      <c r="A179" t="s">
        <v>366</v>
      </c>
      <c r="B179" t="str">
        <f>_xlfn.XLOOKUP(A179, opponents_table!D:D, opponents_table!B:B, "", 0)</f>
        <v/>
      </c>
    </row>
    <row r="180" spans="1:2" x14ac:dyDescent="0.25">
      <c r="A180" t="s">
        <v>367</v>
      </c>
      <c r="B180" t="str">
        <f>_xlfn.XLOOKUP(A180, opponents_table!D:D, opponents_table!B:B, "", 0)</f>
        <v/>
      </c>
    </row>
    <row r="181" spans="1:2" x14ac:dyDescent="0.25">
      <c r="A181" t="s">
        <v>368</v>
      </c>
      <c r="B181" t="str">
        <f>_xlfn.XLOOKUP(A181, opponents_table!D:D, opponents_table!B:B, "", 0)</f>
        <v>Card Expert Aurora</v>
      </c>
    </row>
    <row r="182" spans="1:2" x14ac:dyDescent="0.25">
      <c r="A182" t="s">
        <v>369</v>
      </c>
      <c r="B182" t="str">
        <f>_xlfn.XLOOKUP(A182, opponents_table!D:D, opponents_table!B:B, "", 0)</f>
        <v/>
      </c>
    </row>
    <row r="183" spans="1:2" x14ac:dyDescent="0.25">
      <c r="A183" t="s">
        <v>370</v>
      </c>
      <c r="B183" t="str">
        <f>_xlfn.XLOOKUP(A183, opponents_table!D:D, opponents_table!B:B, "", 0)</f>
        <v/>
      </c>
    </row>
    <row r="184" spans="1:2" x14ac:dyDescent="0.25">
      <c r="A184" t="s">
        <v>371</v>
      </c>
      <c r="B184" t="str">
        <f>_xlfn.XLOOKUP(A184, opponents_table!D:D, opponents_table!B:B, "", 0)</f>
        <v/>
      </c>
    </row>
    <row r="185" spans="1:2" x14ac:dyDescent="0.25">
      <c r="A185" t="s">
        <v>372</v>
      </c>
      <c r="B185" t="str">
        <f>_xlfn.XLOOKUP(A185, opponents_table!D:D, opponents_table!B:B, "", 0)</f>
        <v/>
      </c>
    </row>
    <row r="186" spans="1:2" x14ac:dyDescent="0.25">
      <c r="A186" t="s">
        <v>373</v>
      </c>
      <c r="B186" t="str">
        <f>_xlfn.XLOOKUP(A186, opponents_table!D:D, opponents_table!B:B, "", 0)</f>
        <v/>
      </c>
    </row>
    <row r="187" spans="1:2" x14ac:dyDescent="0.25">
      <c r="A187" t="s">
        <v>374</v>
      </c>
      <c r="B187" t="str">
        <f>_xlfn.XLOOKUP(A187, opponents_table!D:D, opponents_table!B:B, "", 0)</f>
        <v/>
      </c>
    </row>
    <row r="188" spans="1:2" x14ac:dyDescent="0.25">
      <c r="A188" t="s">
        <v>375</v>
      </c>
      <c r="B188" t="str">
        <f>_xlfn.XLOOKUP(A188, opponents_table!D:D, opponents_table!B:B, "", 0)</f>
        <v/>
      </c>
    </row>
    <row r="189" spans="1:2" x14ac:dyDescent="0.25">
      <c r="A189" t="s">
        <v>376</v>
      </c>
      <c r="B189" t="str">
        <f>_xlfn.XLOOKUP(A189, opponents_table!D:D, opponents_table!B:B, "", 0)</f>
        <v/>
      </c>
    </row>
    <row r="190" spans="1:2" x14ac:dyDescent="0.25">
      <c r="A190" t="s">
        <v>377</v>
      </c>
      <c r="B190" t="str">
        <f>_xlfn.XLOOKUP(A190, opponents_table!D:D, opponents_table!B:B, "", 0)</f>
        <v/>
      </c>
    </row>
    <row r="191" spans="1:2" x14ac:dyDescent="0.25">
      <c r="A191" t="s">
        <v>378</v>
      </c>
      <c r="B191" t="str">
        <f>_xlfn.XLOOKUP(A191, opponents_table!D:D, opponents_table!B:B, "", 0)</f>
        <v/>
      </c>
    </row>
    <row r="192" spans="1:2" x14ac:dyDescent="0.25">
      <c r="A192" t="s">
        <v>379</v>
      </c>
      <c r="B192" t="str">
        <f>_xlfn.XLOOKUP(A192, opponents_table!D:D, opponents_table!B:B, "", 0)</f>
        <v>Police Sergeant Douglas</v>
      </c>
    </row>
    <row r="193" spans="1:2" x14ac:dyDescent="0.25">
      <c r="A193" t="s">
        <v>380</v>
      </c>
      <c r="B193" t="str">
        <f>_xlfn.XLOOKUP(A193, opponents_table!D:D, opponents_table!B:B, "", 0)</f>
        <v>Hiker Walter</v>
      </c>
    </row>
    <row r="194" spans="1:2" x14ac:dyDescent="0.25">
      <c r="A194" t="s">
        <v>381</v>
      </c>
      <c r="B194" t="str">
        <f>_xlfn.XLOOKUP(A194, opponents_table!D:D, opponents_table!B:B, "", 0)</f>
        <v>Fisherman Dave</v>
      </c>
    </row>
    <row r="195" spans="1:2" x14ac:dyDescent="0.25">
      <c r="A195" t="s">
        <v>382</v>
      </c>
      <c r="B195" t="str">
        <f>_xlfn.XLOOKUP(A195, opponents_table!D:D, opponents_table!B:B, "", 0)</f>
        <v>Firebreather Darryl</v>
      </c>
    </row>
    <row r="196" spans="1:2" x14ac:dyDescent="0.25">
      <c r="A196" t="s">
        <v>383</v>
      </c>
      <c r="B196" t="str">
        <f>_xlfn.XLOOKUP(A196, opponents_table!D:D, opponents_table!B:B, "", 0)</f>
        <v/>
      </c>
    </row>
    <row r="197" spans="1:2" x14ac:dyDescent="0.25">
      <c r="A197" t="s">
        <v>384</v>
      </c>
      <c r="B197" t="str">
        <f>_xlfn.XLOOKUP(A197, opponents_table!D:D, opponents_table!B:B, "", 0)</f>
        <v/>
      </c>
    </row>
    <row r="198" spans="1:2" x14ac:dyDescent="0.25">
      <c r="A198" t="s">
        <v>385</v>
      </c>
      <c r="B198" t="str">
        <f>_xlfn.XLOOKUP(A198, opponents_table!D:D, opponents_table!B:B, "", 0)</f>
        <v>Guitarist Jonesy</v>
      </c>
    </row>
    <row r="199" spans="1:2" x14ac:dyDescent="0.25">
      <c r="A199" t="s">
        <v>386</v>
      </c>
      <c r="B199" t="str">
        <f>_xlfn.XLOOKUP(A199, opponents_table!D:D, opponents_table!B:B, "", 0)</f>
        <v>Youngster Cooper</v>
      </c>
    </row>
    <row r="200" spans="1:2" x14ac:dyDescent="0.25">
      <c r="A200" t="s">
        <v>387</v>
      </c>
      <c r="B200" t="str">
        <f>_xlfn.XLOOKUP(A200, opponents_table!D:D, opponents_table!B:B, "", 0)</f>
        <v/>
      </c>
    </row>
    <row r="201" spans="1:2" x14ac:dyDescent="0.25">
      <c r="A201" t="s">
        <v>388</v>
      </c>
      <c r="B201" t="str">
        <f>_xlfn.XLOOKUP(A201, opponents_table!D:D, opponents_table!B:B, "", 0)</f>
        <v>Battlegirl Sofia</v>
      </c>
    </row>
    <row r="202" spans="1:2" x14ac:dyDescent="0.25">
      <c r="A202" t="s">
        <v>389</v>
      </c>
      <c r="B202" t="str">
        <f>_xlfn.XLOOKUP(A202, opponents_table!D:D, opponents_table!B:B, "", 0)</f>
        <v/>
      </c>
    </row>
    <row r="203" spans="1:2" x14ac:dyDescent="0.25">
      <c r="A203" t="s">
        <v>390</v>
      </c>
      <c r="B203" t="str">
        <f>_xlfn.XLOOKUP(A203, opponents_table!D:D, opponents_table!B:B, "", 0)</f>
        <v/>
      </c>
    </row>
    <row r="204" spans="1:2" x14ac:dyDescent="0.25">
      <c r="A204" t="s">
        <v>391</v>
      </c>
      <c r="B204" t="str">
        <f>_xlfn.XLOOKUP(A204, opponents_table!D:D, opponents_table!B:B, "", 0)</f>
        <v/>
      </c>
    </row>
    <row r="205" spans="1:2" x14ac:dyDescent="0.25">
      <c r="A205" t="s">
        <v>392</v>
      </c>
      <c r="B205" t="str">
        <f>_xlfn.XLOOKUP(A205, opponents_table!D:D, opponents_table!B:B, "", 0)</f>
        <v/>
      </c>
    </row>
    <row r="206" spans="1:2" x14ac:dyDescent="0.25">
      <c r="A206" t="s">
        <v>393</v>
      </c>
      <c r="B206" t="str">
        <f>_xlfn.XLOOKUP(A206, opponents_table!D:D, opponents_table!B:B, "", 0)</f>
        <v/>
      </c>
    </row>
    <row r="207" spans="1:2" x14ac:dyDescent="0.25">
      <c r="A207" t="s">
        <v>394</v>
      </c>
      <c r="B207" t="str">
        <f>_xlfn.XLOOKUP(A207, opponents_table!D:D, opponents_table!B:B, "", 0)</f>
        <v/>
      </c>
    </row>
    <row r="208" spans="1:2" x14ac:dyDescent="0.25">
      <c r="A208" t="s">
        <v>395</v>
      </c>
      <c r="B208" t="str">
        <f>_xlfn.XLOOKUP(A208, opponents_table!D:D, opponents_table!B:B, "", 0)</f>
        <v/>
      </c>
    </row>
    <row r="209" spans="1:2" x14ac:dyDescent="0.25">
      <c r="A209" t="s">
        <v>396</v>
      </c>
      <c r="B209" t="str">
        <f>_xlfn.XLOOKUP(A209, opponents_table!D:D, opponents_table!B:B, "", 0)</f>
        <v/>
      </c>
    </row>
    <row r="210" spans="1:2" x14ac:dyDescent="0.25">
      <c r="A210" t="s">
        <v>397</v>
      </c>
      <c r="B210" t="str">
        <f>_xlfn.XLOOKUP(A210, opponents_table!D:D, opponents_table!B:B, "", 0)</f>
        <v/>
      </c>
    </row>
    <row r="211" spans="1:2" x14ac:dyDescent="0.25">
      <c r="A211" t="s">
        <v>398</v>
      </c>
      <c r="B211" t="str">
        <f>_xlfn.XLOOKUP(A211, opponents_table!D:D, opponents_table!B:B, "", 0)</f>
        <v/>
      </c>
    </row>
    <row r="212" spans="1:2" x14ac:dyDescent="0.25">
      <c r="A212" t="s">
        <v>399</v>
      </c>
      <c r="B212" t="str">
        <f>_xlfn.XLOOKUP(A212, opponents_table!D:D, opponents_table!B:B, "", 0)</f>
        <v>Psychic Brienne</v>
      </c>
    </row>
    <row r="213" spans="1:2" x14ac:dyDescent="0.25">
      <c r="A213" t="s">
        <v>400</v>
      </c>
      <c r="B213" t="str">
        <f>_xlfn.XLOOKUP(A213, opponents_table!D:D, opponents_table!B:B, "", 0)</f>
        <v/>
      </c>
    </row>
    <row r="214" spans="1:2" x14ac:dyDescent="0.25">
      <c r="A214" t="s">
        <v>401</v>
      </c>
      <c r="B214" t="str">
        <f>_xlfn.XLOOKUP(A214, opponents_table!D:D, opponents_table!B:B, "", 0)</f>
        <v/>
      </c>
    </row>
    <row r="215" spans="1:2" x14ac:dyDescent="0.25">
      <c r="A215" t="s">
        <v>402</v>
      </c>
      <c r="B215" t="str">
        <f>_xlfn.XLOOKUP(A215, opponents_table!D:D, opponents_table!B:B, "", 0)</f>
        <v/>
      </c>
    </row>
    <row r="216" spans="1:2" x14ac:dyDescent="0.25">
      <c r="A216" t="s">
        <v>403</v>
      </c>
      <c r="B216" t="str">
        <f>_xlfn.XLOOKUP(A216, opponents_table!D:D, opponents_table!B:B, "", 0)</f>
        <v/>
      </c>
    </row>
    <row r="217" spans="1:2" x14ac:dyDescent="0.25">
      <c r="A217" t="s">
        <v>404</v>
      </c>
      <c r="B217" t="str">
        <f>_xlfn.XLOOKUP(A217, opponents_table!D:D, opponents_table!B:B, "", 0)</f>
        <v>Bad Dude Paul</v>
      </c>
    </row>
    <row r="218" spans="1:2" x14ac:dyDescent="0.25">
      <c r="A218" t="s">
        <v>405</v>
      </c>
      <c r="B218" t="str">
        <f>_xlfn.XLOOKUP(A218, opponents_table!D:D, opponents_table!B:B, "", 0)</f>
        <v/>
      </c>
    </row>
    <row r="219" spans="1:2" x14ac:dyDescent="0.25">
      <c r="A219" t="s">
        <v>406</v>
      </c>
      <c r="B219" t="str">
        <f>_xlfn.XLOOKUP(A219, opponents_table!D:D, opponents_table!B:B, "", 0)</f>
        <v/>
      </c>
    </row>
    <row r="220" spans="1:2" x14ac:dyDescent="0.25">
      <c r="A220" t="s">
        <v>407</v>
      </c>
      <c r="B220" t="str">
        <f>_xlfn.XLOOKUP(A220, opponents_table!D:D, opponents_table!B:B, "", 0)</f>
        <v>Jogger Daniel</v>
      </c>
    </row>
    <row r="221" spans="1:2" x14ac:dyDescent="0.25">
      <c r="A221" t="s">
        <v>408</v>
      </c>
      <c r="B221" t="str">
        <f>_xlfn.XLOOKUP(A221, opponents_table!D:D, opponents_table!B:B, "", 0)</f>
        <v/>
      </c>
    </row>
    <row r="222" spans="1:2" x14ac:dyDescent="0.25">
      <c r="A222" t="s">
        <v>409</v>
      </c>
      <c r="B222" t="str">
        <f>_xlfn.XLOOKUP(A222, opponents_table!D:D, opponents_table!B:B, "", 0)</f>
        <v/>
      </c>
    </row>
    <row r="223" spans="1:2" x14ac:dyDescent="0.25">
      <c r="A223" t="s">
        <v>410</v>
      </c>
      <c r="B223" t="str">
        <f>_xlfn.XLOOKUP(A223, opponents_table!D:D, opponents_table!B:B, "", 0)</f>
        <v/>
      </c>
    </row>
    <row r="224" spans="1:2" x14ac:dyDescent="0.25">
      <c r="A224" t="s">
        <v>411</v>
      </c>
      <c r="B224" t="str">
        <f>_xlfn.XLOOKUP(A224, opponents_table!D:D, opponents_table!B:B, "", 0)</f>
        <v/>
      </c>
    </row>
    <row r="225" spans="1:2" x14ac:dyDescent="0.25">
      <c r="A225" t="s">
        <v>412</v>
      </c>
      <c r="B225" t="str">
        <f>_xlfn.XLOOKUP(A225, opponents_table!D:D, opponents_table!B:B, "", 0)</f>
        <v/>
      </c>
    </row>
    <row r="226" spans="1:2" x14ac:dyDescent="0.25">
      <c r="A226" t="s">
        <v>413</v>
      </c>
      <c r="B226" t="str">
        <f>_xlfn.XLOOKUP(A226, opponents_table!D:D, opponents_table!B:B, "", 0)</f>
        <v>Backpacker Patrick</v>
      </c>
    </row>
    <row r="227" spans="1:2" x14ac:dyDescent="0.25">
      <c r="A227" t="s">
        <v>414</v>
      </c>
      <c r="B227" t="str">
        <f>_xlfn.XLOOKUP(A227, opponents_table!D:D, opponents_table!B:B, "", 0)</f>
        <v/>
      </c>
    </row>
    <row r="228" spans="1:2" x14ac:dyDescent="0.25">
      <c r="A228" t="s">
        <v>415</v>
      </c>
      <c r="B228" t="str">
        <f>_xlfn.XLOOKUP(A228, opponents_table!D:D, opponents_table!B:B, "", 0)</f>
        <v/>
      </c>
    </row>
    <row r="229" spans="1:2" x14ac:dyDescent="0.25">
      <c r="A229" t="s">
        <v>416</v>
      </c>
      <c r="B229" t="str">
        <f>_xlfn.XLOOKUP(A229, opponents_table!D:D, opponents_table!B:B, "", 0)</f>
        <v/>
      </c>
    </row>
    <row r="230" spans="1:2" x14ac:dyDescent="0.25">
      <c r="A230" t="s">
        <v>417</v>
      </c>
      <c r="B230" t="str">
        <f>_xlfn.XLOOKUP(A230, opponents_table!D:D, opponents_table!B:B, "", 0)</f>
        <v/>
      </c>
    </row>
    <row r="231" spans="1:2" x14ac:dyDescent="0.25">
      <c r="A231" t="s">
        <v>418</v>
      </c>
      <c r="B231" t="str">
        <f>_xlfn.XLOOKUP(A231, opponents_table!D:D, opponents_table!B:B, "", 0)</f>
        <v/>
      </c>
    </row>
    <row r="232" spans="1:2" x14ac:dyDescent="0.25">
      <c r="A232" t="s">
        <v>419</v>
      </c>
      <c r="B232" t="str">
        <f>_xlfn.XLOOKUP(A232, opponents_table!D:D, opponents_table!B:B, "", 0)</f>
        <v>Youngster Milo</v>
      </c>
    </row>
    <row r="233" spans="1:2" x14ac:dyDescent="0.25">
      <c r="A233" t="s">
        <v>420</v>
      </c>
      <c r="B233" t="str">
        <f>_xlfn.XLOOKUP(A233, opponents_table!D:D, opponents_table!B:B, "", 0)</f>
        <v/>
      </c>
    </row>
    <row r="234" spans="1:2" x14ac:dyDescent="0.25">
      <c r="A234" t="s">
        <v>421</v>
      </c>
      <c r="B234" t="str">
        <f>_xlfn.XLOOKUP(A234, opponents_table!D:D, opponents_table!B:B, "", 0)</f>
        <v/>
      </c>
    </row>
    <row r="235" spans="1:2" x14ac:dyDescent="0.25">
      <c r="A235" t="s">
        <v>422</v>
      </c>
      <c r="B235" t="str">
        <f>_xlfn.XLOOKUP(A235, opponents_table!D:D, opponents_table!B:B, "", 0)</f>
        <v/>
      </c>
    </row>
    <row r="236" spans="1:2" x14ac:dyDescent="0.25">
      <c r="A236" t="s">
        <v>423</v>
      </c>
      <c r="B236" t="str">
        <f>_xlfn.XLOOKUP(A236, opponents_table!D:D, opponents_table!B:B, "", 0)</f>
        <v/>
      </c>
    </row>
    <row r="237" spans="1:2" x14ac:dyDescent="0.25">
      <c r="A237" t="s">
        <v>424</v>
      </c>
      <c r="B237" t="str">
        <f>_xlfn.XLOOKUP(A237, opponents_table!D:D, opponents_table!B:B, "", 0)</f>
        <v>Birdspotter Gregg</v>
      </c>
    </row>
    <row r="238" spans="1:2" x14ac:dyDescent="0.25">
      <c r="A238" t="s">
        <v>425</v>
      </c>
      <c r="B238" t="str">
        <f>_xlfn.XLOOKUP(A238, opponents_table!D:D, opponents_table!B:B, "", 0)</f>
        <v/>
      </c>
    </row>
    <row r="239" spans="1:2" x14ac:dyDescent="0.25">
      <c r="A239" t="s">
        <v>426</v>
      </c>
      <c r="B239" t="str">
        <f>_xlfn.XLOOKUP(A239, opponents_table!D:D, opponents_table!B:B, "", 0)</f>
        <v/>
      </c>
    </row>
    <row r="240" spans="1:2" x14ac:dyDescent="0.25">
      <c r="A240" t="s">
        <v>427</v>
      </c>
      <c r="B240" t="str">
        <f>_xlfn.XLOOKUP(A240, opponents_table!D:D, opponents_table!B:B, "", 0)</f>
        <v>Beach Kid Evie</v>
      </c>
    </row>
    <row r="241" spans="1:2" x14ac:dyDescent="0.25">
      <c r="A241" t="s">
        <v>617</v>
      </c>
      <c r="B241" t="str">
        <f>_xlfn.XLOOKUP(A241, opponents_table!D:D, opponents_table!B:B, "", 0)</f>
        <v/>
      </c>
    </row>
    <row r="242" spans="1:2" x14ac:dyDescent="0.25">
      <c r="A242" t="s">
        <v>428</v>
      </c>
      <c r="B242" t="str">
        <f>_xlfn.XLOOKUP(A242, opponents_table!D:D, opponents_table!B:B, "", 0)</f>
        <v/>
      </c>
    </row>
    <row r="243" spans="1:2" x14ac:dyDescent="0.25">
      <c r="A243" t="s">
        <v>429</v>
      </c>
      <c r="B243" t="str">
        <f>_xlfn.XLOOKUP(A243, opponents_table!D:D, opponents_table!B:B, "", 0)</f>
        <v>Pikachu Fan Marina</v>
      </c>
    </row>
    <row r="244" spans="1:2" x14ac:dyDescent="0.25">
      <c r="A244" t="s">
        <v>430</v>
      </c>
      <c r="B244" t="str">
        <f>_xlfn.XLOOKUP(A244, opponents_table!D:D, opponents_table!B:B, "", 0)</f>
        <v>Pikachu Fan Skye</v>
      </c>
    </row>
    <row r="245" spans="1:2" x14ac:dyDescent="0.25">
      <c r="A245" t="s">
        <v>431</v>
      </c>
      <c r="B245" t="str">
        <f>_xlfn.XLOOKUP(A245, opponents_table!D:D, opponents_table!B:B, "", 0)</f>
        <v>Pikachu Fan Cami</v>
      </c>
    </row>
    <row r="246" spans="1:2" x14ac:dyDescent="0.25">
      <c r="A246" t="s">
        <v>432</v>
      </c>
      <c r="B246" t="str">
        <f>_xlfn.XLOOKUP(A246, opponents_table!D:D, opponents_table!B:B, "", 0)</f>
        <v>Pikachu Fan Juniper</v>
      </c>
    </row>
    <row r="247" spans="1:2" x14ac:dyDescent="0.25">
      <c r="A247" t="s">
        <v>433</v>
      </c>
      <c r="B247" t="str">
        <f>_xlfn.XLOOKUP(A247, opponents_table!D:D, opponents_table!B:B, "", 0)</f>
        <v>Pikachu Fan Raye</v>
      </c>
    </row>
    <row r="248" spans="1:2" x14ac:dyDescent="0.25">
      <c r="A248" t="s">
        <v>434</v>
      </c>
      <c r="B248" t="str">
        <f>_xlfn.XLOOKUP(A248, opponents_table!D:D, opponents_table!B:B, "", 0)</f>
        <v>Pikachu Fan Leaf</v>
      </c>
    </row>
    <row r="249" spans="1:2" x14ac:dyDescent="0.25">
      <c r="A249" t="s">
        <v>435</v>
      </c>
      <c r="B249" t="str">
        <f>_xlfn.XLOOKUP(A249, opponents_table!D:D, opponents_table!B:B, "", 0)</f>
        <v/>
      </c>
    </row>
    <row r="250" spans="1:2" x14ac:dyDescent="0.25">
      <c r="A250" t="s">
        <v>436</v>
      </c>
      <c r="B250" t="str">
        <f>_xlfn.XLOOKUP(A250, opponents_table!D:D, opponents_table!B:B, "", 0)</f>
        <v/>
      </c>
    </row>
    <row r="251" spans="1:2" x14ac:dyDescent="0.25">
      <c r="A251" t="s">
        <v>437</v>
      </c>
      <c r="B251" t="str">
        <f>_xlfn.XLOOKUP(A251, opponents_table!D:D, opponents_table!B:B, "", 0)</f>
        <v/>
      </c>
    </row>
    <row r="252" spans="1:2" x14ac:dyDescent="0.25">
      <c r="A252" t="s">
        <v>438</v>
      </c>
      <c r="B252" t="str">
        <f>_xlfn.XLOOKUP(A252, opponents_table!D:D, opponents_table!B:B, "", 0)</f>
        <v/>
      </c>
    </row>
    <row r="253" spans="1:2" x14ac:dyDescent="0.25">
      <c r="A253" t="s">
        <v>439</v>
      </c>
      <c r="B253" t="str">
        <f>_xlfn.XLOOKUP(A253, opponents_table!D:D, opponents_table!B:B, "", 0)</f>
        <v/>
      </c>
    </row>
    <row r="254" spans="1:2" x14ac:dyDescent="0.25">
      <c r="A254" t="s">
        <v>440</v>
      </c>
      <c r="B254" t="str">
        <f>_xlfn.XLOOKUP(A254, opponents_table!D:D, opponents_table!B:B, "", 0)</f>
        <v/>
      </c>
    </row>
    <row r="255" spans="1:2" x14ac:dyDescent="0.25">
      <c r="A255" t="s">
        <v>441</v>
      </c>
      <c r="B255" t="str">
        <f>_xlfn.XLOOKUP(A255, opponents_table!D:D, opponents_table!B:B, "", 0)</f>
        <v>Bug Catcher Frankie</v>
      </c>
    </row>
    <row r="256" spans="1:2" x14ac:dyDescent="0.25">
      <c r="A256" t="s">
        <v>442</v>
      </c>
      <c r="B256" t="str">
        <f>_xlfn.XLOOKUP(A256, opponents_table!D:D, opponents_table!B:B, "", 0)</f>
        <v/>
      </c>
    </row>
    <row r="257" spans="1:2" x14ac:dyDescent="0.25">
      <c r="A257" t="s">
        <v>443</v>
      </c>
      <c r="B257" t="str">
        <f>_xlfn.XLOOKUP(A257, opponents_table!D:D, opponents_table!B:B, "", 0)</f>
        <v>Swimmer Jordan</v>
      </c>
    </row>
    <row r="258" spans="1:2" x14ac:dyDescent="0.25">
      <c r="A258" t="s">
        <v>444</v>
      </c>
      <c r="B258" t="str">
        <f>_xlfn.XLOOKUP(A258, opponents_table!D:D, opponents_table!B:B, "", 0)</f>
        <v/>
      </c>
    </row>
    <row r="259" spans="1:2" x14ac:dyDescent="0.25">
      <c r="A259" t="s">
        <v>445</v>
      </c>
      <c r="B259" t="str">
        <f>_xlfn.XLOOKUP(A259, opponents_table!D:D, opponents_table!B:B, "", 0)</f>
        <v>Firebreather Kenneth</v>
      </c>
    </row>
    <row r="260" spans="1:2" x14ac:dyDescent="0.25">
      <c r="A260" t="s">
        <v>446</v>
      </c>
      <c r="B260" t="str">
        <f>_xlfn.XLOOKUP(A260, opponents_table!D:D, opponents_table!B:B, "", 0)</f>
        <v/>
      </c>
    </row>
    <row r="261" spans="1:2" x14ac:dyDescent="0.25">
      <c r="A261" t="s">
        <v>447</v>
      </c>
      <c r="B261" t="str">
        <f>_xlfn.XLOOKUP(A261, opponents_table!D:D, opponents_table!B:B, "", 0)</f>
        <v/>
      </c>
    </row>
    <row r="262" spans="1:2" x14ac:dyDescent="0.25">
      <c r="A262" t="s">
        <v>448</v>
      </c>
      <c r="B262" t="str">
        <f>_xlfn.XLOOKUP(A262, opponents_table!D:D, opponents_table!B:B, "", 0)</f>
        <v/>
      </c>
    </row>
    <row r="263" spans="1:2" x14ac:dyDescent="0.25">
      <c r="A263" t="s">
        <v>449</v>
      </c>
      <c r="B263" t="str">
        <f>_xlfn.XLOOKUP(A263, opponents_table!D:D, opponents_table!B:B, "", 0)</f>
        <v/>
      </c>
    </row>
    <row r="264" spans="1:2" x14ac:dyDescent="0.25">
      <c r="A264" t="s">
        <v>450</v>
      </c>
      <c r="B264" t="str">
        <f>_xlfn.XLOOKUP(A264, opponents_table!D:D, opponents_table!B:B, "", 0)</f>
        <v>Gambler Victor</v>
      </c>
    </row>
    <row r="265" spans="1:2" x14ac:dyDescent="0.25">
      <c r="A265" t="s">
        <v>451</v>
      </c>
      <c r="B265" t="str">
        <f>_xlfn.XLOOKUP(A265, opponents_table!D:D, opponents_table!B:B, "", 0)</f>
        <v/>
      </c>
    </row>
    <row r="266" spans="1:2" x14ac:dyDescent="0.25">
      <c r="A266" t="s">
        <v>452</v>
      </c>
      <c r="B266" t="str">
        <f>_xlfn.XLOOKUP(A266, opponents_table!D:D, opponents_table!B:B, "", 0)</f>
        <v>Pikachu Mum</v>
      </c>
    </row>
    <row r="267" spans="1:2" x14ac:dyDescent="0.25">
      <c r="A267" t="s">
        <v>453</v>
      </c>
      <c r="B267" t="str">
        <f>_xlfn.XLOOKUP(A267, opponents_table!D:D, opponents_table!B:B, "", 0)</f>
        <v>Guitarist Howard</v>
      </c>
    </row>
    <row r="268" spans="1:2" x14ac:dyDescent="0.25">
      <c r="A268" t="s">
        <v>454</v>
      </c>
      <c r="B268" t="str">
        <f>_xlfn.XLOOKUP(A268, opponents_table!D:D, opponents_table!B:B, "", 0)</f>
        <v/>
      </c>
    </row>
    <row r="269" spans="1:2" x14ac:dyDescent="0.25">
      <c r="A269" t="s">
        <v>455</v>
      </c>
      <c r="B269" t="str">
        <f>_xlfn.XLOOKUP(A269, opponents_table!D:D, opponents_table!B:B, "", 0)</f>
        <v/>
      </c>
    </row>
    <row r="270" spans="1:2" x14ac:dyDescent="0.25">
      <c r="A270" t="s">
        <v>456</v>
      </c>
      <c r="B270" t="str">
        <f>_xlfn.XLOOKUP(A270, opponents_table!D:D, opponents_table!B:B, "", 0)</f>
        <v/>
      </c>
    </row>
    <row r="271" spans="1:2" x14ac:dyDescent="0.25">
      <c r="A271" t="s">
        <v>457</v>
      </c>
      <c r="B271" t="str">
        <f>_xlfn.XLOOKUP(A271, opponents_table!D:D, opponents_table!B:B, "", 0)</f>
        <v/>
      </c>
    </row>
    <row r="272" spans="1:2" x14ac:dyDescent="0.25">
      <c r="A272" t="s">
        <v>458</v>
      </c>
      <c r="B272" t="str">
        <f>_xlfn.XLOOKUP(A272, opponents_table!D:D, opponents_table!B:B, "", 0)</f>
        <v>Youngster Joey</v>
      </c>
    </row>
    <row r="273" spans="1:2" x14ac:dyDescent="0.25">
      <c r="A273" t="s">
        <v>459</v>
      </c>
      <c r="B273" t="str">
        <f>_xlfn.XLOOKUP(A273, opponents_table!D:D, opponents_table!B:B, "", 0)</f>
        <v/>
      </c>
    </row>
    <row r="274" spans="1:2" x14ac:dyDescent="0.25">
      <c r="A274" t="s">
        <v>460</v>
      </c>
      <c r="B274" t="str">
        <f>_xlfn.XLOOKUP(A274, opponents_table!D:D, opponents_table!B:B, "", 0)</f>
        <v/>
      </c>
    </row>
    <row r="275" spans="1:2" x14ac:dyDescent="0.25">
      <c r="A275" t="s">
        <v>461</v>
      </c>
      <c r="B275" t="str">
        <f>_xlfn.XLOOKUP(A275, opponents_table!D:D, opponents_table!B:B, "", 0)</f>
        <v/>
      </c>
    </row>
    <row r="276" spans="1:2" x14ac:dyDescent="0.25">
      <c r="A276" t="s">
        <v>462</v>
      </c>
      <c r="B276" t="str">
        <f>_xlfn.XLOOKUP(A276, opponents_table!D:D, opponents_table!B:B, "", 0)</f>
        <v/>
      </c>
    </row>
    <row r="277" spans="1:2" x14ac:dyDescent="0.25">
      <c r="A277" t="s">
        <v>463</v>
      </c>
      <c r="B277" t="str">
        <f>_xlfn.XLOOKUP(A277, opponents_table!D:D, opponents_table!B:B, "", 0)</f>
        <v/>
      </c>
    </row>
    <row r="278" spans="1:2" x14ac:dyDescent="0.25">
      <c r="A278" t="s">
        <v>464</v>
      </c>
      <c r="B278" t="str">
        <f>_xlfn.XLOOKUP(A278, opponents_table!D:D, opponents_table!B:B, "", 0)</f>
        <v/>
      </c>
    </row>
    <row r="279" spans="1:2" x14ac:dyDescent="0.25">
      <c r="A279" t="s">
        <v>465</v>
      </c>
      <c r="B279" t="str">
        <f>_xlfn.XLOOKUP(A279, opponents_table!D:D, opponents_table!B:B, "", 0)</f>
        <v/>
      </c>
    </row>
    <row r="280" spans="1:2" x14ac:dyDescent="0.25">
      <c r="A280" t="s">
        <v>466</v>
      </c>
      <c r="B280" t="str">
        <f>_xlfn.XLOOKUP(A280, opponents_table!D:D, opponents_table!B:B, "", 0)</f>
        <v/>
      </c>
    </row>
    <row r="281" spans="1:2" x14ac:dyDescent="0.25">
      <c r="A281" t="s">
        <v>467</v>
      </c>
      <c r="B281" t="str">
        <f>_xlfn.XLOOKUP(A281, opponents_table!D:D, opponents_table!B:B, "", 0)</f>
        <v/>
      </c>
    </row>
    <row r="282" spans="1:2" x14ac:dyDescent="0.25">
      <c r="A282" t="s">
        <v>468</v>
      </c>
      <c r="B282" t="str">
        <f>_xlfn.XLOOKUP(A282, opponents_table!D:D, opponents_table!B:B, "", 0)</f>
        <v/>
      </c>
    </row>
    <row r="283" spans="1:2" x14ac:dyDescent="0.25">
      <c r="A283" t="s">
        <v>469</v>
      </c>
      <c r="B283" t="str">
        <f>_xlfn.XLOOKUP(A283, opponents_table!D:D, opponents_table!B:B, "", 0)</f>
        <v/>
      </c>
    </row>
    <row r="284" spans="1:2" x14ac:dyDescent="0.25">
      <c r="A284" t="s">
        <v>470</v>
      </c>
      <c r="B284" t="str">
        <f>_xlfn.XLOOKUP(A284, opponents_table!D:D, opponents_table!B:B, "", 0)</f>
        <v/>
      </c>
    </row>
    <row r="285" spans="1:2" x14ac:dyDescent="0.25">
      <c r="A285" t="s">
        <v>471</v>
      </c>
      <c r="B285" t="str">
        <f>_xlfn.XLOOKUP(A285, opponents_table!D:D, opponents_table!B:B, "", 0)</f>
        <v/>
      </c>
    </row>
    <row r="286" spans="1:2" x14ac:dyDescent="0.25">
      <c r="A286" t="s">
        <v>472</v>
      </c>
      <c r="B286" t="str">
        <f>_xlfn.XLOOKUP(A286, opponents_table!D:D, opponents_table!B:B, "", 0)</f>
        <v/>
      </c>
    </row>
    <row r="287" spans="1:2" x14ac:dyDescent="0.25">
      <c r="A287" t="s">
        <v>473</v>
      </c>
      <c r="B287" t="str">
        <f>_xlfn.XLOOKUP(A287, opponents_table!D:D, opponents_table!B:B, "", 0)</f>
        <v/>
      </c>
    </row>
    <row r="288" spans="1:2" x14ac:dyDescent="0.25">
      <c r="A288" t="s">
        <v>474</v>
      </c>
      <c r="B288" t="str">
        <f>_xlfn.XLOOKUP(A288, opponents_table!D:D, opponents_table!B:B, "", 0)</f>
        <v/>
      </c>
    </row>
    <row r="289" spans="1:2" x14ac:dyDescent="0.25">
      <c r="A289" t="s">
        <v>475</v>
      </c>
      <c r="B289" t="str">
        <f>_xlfn.XLOOKUP(A289, opponents_table!D:D, opponents_table!B:B, "", 0)</f>
        <v/>
      </c>
    </row>
    <row r="290" spans="1:2" x14ac:dyDescent="0.25">
      <c r="A290" t="s">
        <v>476</v>
      </c>
      <c r="B290" t="str">
        <f>_xlfn.XLOOKUP(A290, opponents_table!D:D, opponents_table!B:B, "", 0)</f>
        <v/>
      </c>
    </row>
    <row r="291" spans="1:2" x14ac:dyDescent="0.25">
      <c r="A291" t="s">
        <v>477</v>
      </c>
      <c r="B291" t="str">
        <f>_xlfn.XLOOKUP(A291, opponents_table!D:D, opponents_table!B:B, "", 0)</f>
        <v/>
      </c>
    </row>
    <row r="292" spans="1:2" x14ac:dyDescent="0.25">
      <c r="A292" t="s">
        <v>478</v>
      </c>
      <c r="B292" t="str">
        <f>_xlfn.XLOOKUP(A292, opponents_table!D:D, opponents_table!B:B, "", 0)</f>
        <v/>
      </c>
    </row>
    <row r="293" spans="1:2" x14ac:dyDescent="0.25">
      <c r="A293" t="s">
        <v>479</v>
      </c>
      <c r="B293" t="str">
        <f>_xlfn.XLOOKUP(A293, opponents_table!D:D, opponents_table!B:B, "", 0)</f>
        <v/>
      </c>
    </row>
    <row r="294" spans="1:2" x14ac:dyDescent="0.25">
      <c r="A294" t="s">
        <v>480</v>
      </c>
      <c r="B294" t="str">
        <f>_xlfn.XLOOKUP(A294, opponents_table!D:D, opponents_table!B:B, "", 0)</f>
        <v>Clown Glenn</v>
      </c>
    </row>
    <row r="295" spans="1:2" x14ac:dyDescent="0.25">
      <c r="A295" t="s">
        <v>481</v>
      </c>
      <c r="B295" t="str">
        <f>_xlfn.XLOOKUP(A295, opponents_table!D:D, opponents_table!B:B, "", 0)</f>
        <v/>
      </c>
    </row>
    <row r="296" spans="1:2" x14ac:dyDescent="0.25">
      <c r="A296" t="s">
        <v>482</v>
      </c>
      <c r="B296" t="str">
        <f>_xlfn.XLOOKUP(A296, opponents_table!D:D, opponents_table!B:B, "", 0)</f>
        <v/>
      </c>
    </row>
    <row r="297" spans="1:2" x14ac:dyDescent="0.25">
      <c r="A297" t="s">
        <v>483</v>
      </c>
      <c r="B297" t="str">
        <f>_xlfn.XLOOKUP(A297, opponents_table!D:D, opponents_table!B:B, "", 0)</f>
        <v/>
      </c>
    </row>
    <row r="298" spans="1:2" x14ac:dyDescent="0.25">
      <c r="A298" t="s">
        <v>484</v>
      </c>
      <c r="B298" t="str">
        <f>_xlfn.XLOOKUP(A298, opponents_table!D:D, opponents_table!B:B, "", 0)</f>
        <v/>
      </c>
    </row>
    <row r="299" spans="1:2" x14ac:dyDescent="0.25">
      <c r="A299" t="s">
        <v>485</v>
      </c>
      <c r="B299" t="str">
        <f>_xlfn.XLOOKUP(A299, opponents_table!D:D, opponents_table!B:B, "", 0)</f>
        <v/>
      </c>
    </row>
    <row r="300" spans="1:2" x14ac:dyDescent="0.25">
      <c r="A300" t="s">
        <v>486</v>
      </c>
      <c r="B300" t="str">
        <f>_xlfn.XLOOKUP(A300, opponents_table!D:D, opponents_table!B:B, "", 0)</f>
        <v/>
      </c>
    </row>
    <row r="301" spans="1:2" x14ac:dyDescent="0.25">
      <c r="A301" t="s">
        <v>487</v>
      </c>
      <c r="B301" t="str">
        <f>_xlfn.XLOOKUP(A301, opponents_table!D:D, opponents_table!B:B, "", 0)</f>
        <v/>
      </c>
    </row>
    <row r="302" spans="1:2" x14ac:dyDescent="0.25">
      <c r="A302" t="s">
        <v>488</v>
      </c>
      <c r="B302" t="str">
        <f>_xlfn.XLOOKUP(A302, opponents_table!D:D, opponents_table!B:B, "", 0)</f>
        <v/>
      </c>
    </row>
    <row r="303" spans="1:2" x14ac:dyDescent="0.25">
      <c r="A303" t="s">
        <v>489</v>
      </c>
      <c r="B303" t="str">
        <f>_xlfn.XLOOKUP(A303, opponents_table!D:D, opponents_table!B:B, "", 0)</f>
        <v>Fisherman John</v>
      </c>
    </row>
    <row r="304" spans="1:2" x14ac:dyDescent="0.25">
      <c r="A304" t="s">
        <v>490</v>
      </c>
      <c r="B304" t="str">
        <f>_xlfn.XLOOKUP(A304, opponents_table!D:D, opponents_table!B:B, "", 0)</f>
        <v/>
      </c>
    </row>
    <row r="305" spans="1:2" x14ac:dyDescent="0.25">
      <c r="A305" t="s">
        <v>491</v>
      </c>
      <c r="B305" t="str">
        <f>_xlfn.XLOOKUP(A305, opponents_table!D:D, opponents_table!B:B, "", 0)</f>
        <v/>
      </c>
    </row>
    <row r="306" spans="1:2" x14ac:dyDescent="0.25">
      <c r="A306" t="s">
        <v>492</v>
      </c>
      <c r="B306" t="str">
        <f>_xlfn.XLOOKUP(A306, opponents_table!D:D, opponents_table!B:B, "", 0)</f>
        <v/>
      </c>
    </row>
    <row r="307" spans="1:2" x14ac:dyDescent="0.25">
      <c r="A307" t="s">
        <v>493</v>
      </c>
      <c r="B307" t="str">
        <f>_xlfn.XLOOKUP(A307, opponents_table!D:D, opponents_table!B:B, "", 0)</f>
        <v/>
      </c>
    </row>
    <row r="308" spans="1:2" x14ac:dyDescent="0.25">
      <c r="A308" t="s">
        <v>494</v>
      </c>
      <c r="B308" t="str">
        <f>_xlfn.XLOOKUP(A308, opponents_table!D:D, opponents_table!B:B, "", 0)</f>
        <v/>
      </c>
    </row>
    <row r="309" spans="1:2" x14ac:dyDescent="0.25">
      <c r="A309" t="s">
        <v>495</v>
      </c>
      <c r="B309" t="str">
        <f>_xlfn.XLOOKUP(A309, opponents_table!D:D, opponents_table!B:B, "", 0)</f>
        <v/>
      </c>
    </row>
    <row r="310" spans="1:2" x14ac:dyDescent="0.25">
      <c r="A310" t="s">
        <v>496</v>
      </c>
      <c r="B310" t="str">
        <f>_xlfn.XLOOKUP(A310, opponents_table!D:D, opponents_table!B:B, "", 0)</f>
        <v/>
      </c>
    </row>
    <row r="311" spans="1:2" x14ac:dyDescent="0.25">
      <c r="A311" t="s">
        <v>497</v>
      </c>
      <c r="B311" t="str">
        <f>_xlfn.XLOOKUP(A311, opponents_table!D:D, opponents_table!B:B, "", 0)</f>
        <v/>
      </c>
    </row>
    <row r="312" spans="1:2" x14ac:dyDescent="0.25">
      <c r="A312" t="s">
        <v>498</v>
      </c>
      <c r="B312" t="str">
        <f>_xlfn.XLOOKUP(A312, opponents_table!D:D, opponents_table!B:B, "", 0)</f>
        <v/>
      </c>
    </row>
    <row r="313" spans="1:2" x14ac:dyDescent="0.25">
      <c r="A313" t="s">
        <v>499</v>
      </c>
      <c r="B313" t="str">
        <f>_xlfn.XLOOKUP(A313, opponents_table!D:D, opponents_table!B:B, "", 0)</f>
        <v/>
      </c>
    </row>
    <row r="314" spans="1:2" x14ac:dyDescent="0.25">
      <c r="A314" t="s">
        <v>500</v>
      </c>
      <c r="B314" t="str">
        <f>_xlfn.XLOOKUP(A314, opponents_table!D:D, opponents_table!B:B, "", 0)</f>
        <v/>
      </c>
    </row>
    <row r="315" spans="1:2" x14ac:dyDescent="0.25">
      <c r="A315" t="s">
        <v>501</v>
      </c>
      <c r="B315" t="str">
        <f>_xlfn.XLOOKUP(A315, opponents_table!D:D, opponents_table!B:B, "", 0)</f>
        <v>Engineer Brad</v>
      </c>
    </row>
    <row r="316" spans="1:2" x14ac:dyDescent="0.25">
      <c r="A316" t="s">
        <v>502</v>
      </c>
      <c r="B316" t="str">
        <f>_xlfn.XLOOKUP(A316, opponents_table!D:D, opponents_table!B:B, "", 0)</f>
        <v/>
      </c>
    </row>
    <row r="317" spans="1:2" x14ac:dyDescent="0.25">
      <c r="A317" t="s">
        <v>503</v>
      </c>
      <c r="B317" t="str">
        <f>_xlfn.XLOOKUP(A317, opponents_table!D:D, opponents_table!B:B, "", 0)</f>
        <v/>
      </c>
    </row>
    <row r="318" spans="1:2" x14ac:dyDescent="0.25">
      <c r="A318" t="s">
        <v>504</v>
      </c>
      <c r="B318" t="str">
        <f>_xlfn.XLOOKUP(A318, opponents_table!D:D, opponents_table!B:B, "", 0)</f>
        <v/>
      </c>
    </row>
    <row r="319" spans="1:2" x14ac:dyDescent="0.25">
      <c r="A319" t="s">
        <v>505</v>
      </c>
      <c r="B319" t="str">
        <f>_xlfn.XLOOKUP(A319, opponents_table!D:D, opponents_table!B:B, "", 0)</f>
        <v/>
      </c>
    </row>
    <row r="320" spans="1:2" x14ac:dyDescent="0.25">
      <c r="A320" t="s">
        <v>506</v>
      </c>
      <c r="B320" t="str">
        <f>_xlfn.XLOOKUP(A320, opponents_table!D:D, opponents_table!B:B, "", 0)</f>
        <v/>
      </c>
    </row>
    <row r="321" spans="1:2" x14ac:dyDescent="0.25">
      <c r="A321" t="s">
        <v>507</v>
      </c>
      <c r="B321" t="str">
        <f>_xlfn.XLOOKUP(A321, opponents_table!D:D, opponents_table!B:B, "", 0)</f>
        <v/>
      </c>
    </row>
    <row r="322" spans="1:2" x14ac:dyDescent="0.25">
      <c r="A322" t="s">
        <v>508</v>
      </c>
      <c r="B322" t="str">
        <f>_xlfn.XLOOKUP(A322, opponents_table!D:D, opponents_table!B:B, "", 0)</f>
        <v/>
      </c>
    </row>
    <row r="323" spans="1:2" x14ac:dyDescent="0.25">
      <c r="A323" t="s">
        <v>509</v>
      </c>
      <c r="B323" t="str">
        <f>_xlfn.XLOOKUP(A323, opponents_table!D:D, opponents_table!B:B, "", 0)</f>
        <v/>
      </c>
    </row>
    <row r="324" spans="1:2" x14ac:dyDescent="0.25">
      <c r="A324" t="s">
        <v>510</v>
      </c>
      <c r="B324" t="str">
        <f>_xlfn.XLOOKUP(A324, opponents_table!D:D, opponents_table!B:B, "", 0)</f>
        <v>Swimmer Todd</v>
      </c>
    </row>
    <row r="325" spans="1:2" x14ac:dyDescent="0.25">
      <c r="A325" t="s">
        <v>511</v>
      </c>
      <c r="B325" t="str">
        <f>_xlfn.XLOOKUP(A325, opponents_table!D:D, opponents_table!B:B, "", 0)</f>
        <v/>
      </c>
    </row>
    <row r="326" spans="1:2" x14ac:dyDescent="0.25">
      <c r="A326" t="s">
        <v>512</v>
      </c>
      <c r="B326" t="str">
        <f>_xlfn.XLOOKUP(A326, opponents_table!D:D, opponents_table!B:B, "", 0)</f>
        <v/>
      </c>
    </row>
    <row r="327" spans="1:2" x14ac:dyDescent="0.25">
      <c r="A327" t="s">
        <v>513</v>
      </c>
      <c r="B327" t="str">
        <f>_xlfn.XLOOKUP(A327, opponents_table!D:D, opponents_table!B:B, "", 0)</f>
        <v/>
      </c>
    </row>
    <row r="328" spans="1:2" x14ac:dyDescent="0.25">
      <c r="A328" t="s">
        <v>514</v>
      </c>
      <c r="B328" t="str">
        <f>_xlfn.XLOOKUP(A328, opponents_table!D:D, opponents_table!B:B, "", 0)</f>
        <v/>
      </c>
    </row>
    <row r="329" spans="1:2" x14ac:dyDescent="0.25">
      <c r="A329" t="s">
        <v>515</v>
      </c>
      <c r="B329" t="str">
        <f>_xlfn.XLOOKUP(A329, opponents_table!D:D, opponents_table!B:B, "", 0)</f>
        <v/>
      </c>
    </row>
    <row r="330" spans="1:2" x14ac:dyDescent="0.25">
      <c r="A330" t="s">
        <v>516</v>
      </c>
      <c r="B330" t="str">
        <f>_xlfn.XLOOKUP(A330, opponents_table!D:D, opponents_table!B:B, "", 0)</f>
        <v/>
      </c>
    </row>
    <row r="331" spans="1:2" x14ac:dyDescent="0.25">
      <c r="A331" t="s">
        <v>517</v>
      </c>
      <c r="B331" t="str">
        <f>_xlfn.XLOOKUP(A331, opponents_table!D:D, opponents_table!B:B, "", 0)</f>
        <v/>
      </c>
    </row>
    <row r="332" spans="1:2" x14ac:dyDescent="0.25">
      <c r="A332" t="s">
        <v>518</v>
      </c>
      <c r="B332" t="str">
        <f>_xlfn.XLOOKUP(A332, opponents_table!D:D, opponents_table!B:B, "", 0)</f>
        <v/>
      </c>
    </row>
    <row r="333" spans="1:2" x14ac:dyDescent="0.25">
      <c r="A333" t="s">
        <v>519</v>
      </c>
      <c r="B333" t="str">
        <f>_xlfn.XLOOKUP(A333, opponents_table!D:D, opponents_table!B:B, "", 0)</f>
        <v/>
      </c>
    </row>
    <row r="334" spans="1:2" x14ac:dyDescent="0.25">
      <c r="A334" t="s">
        <v>520</v>
      </c>
      <c r="B334" t="str">
        <f>_xlfn.XLOOKUP(A334, opponents_table!D:D, opponents_table!B:B, "", 0)</f>
        <v/>
      </c>
    </row>
    <row r="335" spans="1:2" x14ac:dyDescent="0.25">
      <c r="A335" t="s">
        <v>521</v>
      </c>
      <c r="B335" t="str">
        <f>_xlfn.XLOOKUP(A335, opponents_table!D:D, opponents_table!B:B, "", 0)</f>
        <v/>
      </c>
    </row>
    <row r="336" spans="1:2" x14ac:dyDescent="0.25">
      <c r="A336" t="s">
        <v>522</v>
      </c>
      <c r="B336" t="str">
        <f>_xlfn.XLOOKUP(A336, opponents_table!D:D, opponents_table!B:B, "", 0)</f>
        <v/>
      </c>
    </row>
    <row r="337" spans="1:2" x14ac:dyDescent="0.25">
      <c r="A337" t="s">
        <v>523</v>
      </c>
      <c r="B337" t="str">
        <f>_xlfn.XLOOKUP(A337, opponents_table!D:D, opponents_table!B:B, "", 0)</f>
        <v/>
      </c>
    </row>
    <row r="338" spans="1:2" x14ac:dyDescent="0.25">
      <c r="A338" t="s">
        <v>524</v>
      </c>
      <c r="B338" t="str">
        <f>_xlfn.XLOOKUP(A338, opponents_table!D:D, opponents_table!B:B, "", 0)</f>
        <v/>
      </c>
    </row>
    <row r="339" spans="1:2" x14ac:dyDescent="0.25">
      <c r="A339" t="s">
        <v>525</v>
      </c>
      <c r="B339" t="str">
        <f>_xlfn.XLOOKUP(A339, opponents_table!D:D, opponents_table!B:B, "", 0)</f>
        <v/>
      </c>
    </row>
    <row r="340" spans="1:2" x14ac:dyDescent="0.25">
      <c r="A340" t="s">
        <v>526</v>
      </c>
      <c r="B340" t="str">
        <f>_xlfn.XLOOKUP(A340, opponents_table!D:D, opponents_table!B:B, "", 0)</f>
        <v/>
      </c>
    </row>
    <row r="341" spans="1:2" x14ac:dyDescent="0.25">
      <c r="A341" t="s">
        <v>527</v>
      </c>
      <c r="B341" t="str">
        <f>_xlfn.XLOOKUP(A341, opponents_table!D:D, opponents_table!B:B, "", 0)</f>
        <v/>
      </c>
    </row>
    <row r="342" spans="1:2" x14ac:dyDescent="0.25">
      <c r="A342" t="s">
        <v>528</v>
      </c>
      <c r="B342" t="str">
        <f>_xlfn.XLOOKUP(A342, opponents_table!D:D, opponents_table!B:B, "", 0)</f>
        <v>Clown Hubert</v>
      </c>
    </row>
    <row r="343" spans="1:2" x14ac:dyDescent="0.25">
      <c r="A343" t="s">
        <v>529</v>
      </c>
      <c r="B343" t="str">
        <f>_xlfn.XLOOKUP(A343, opponents_table!D:D, opponents_table!B:B, "", 0)</f>
        <v/>
      </c>
    </row>
    <row r="344" spans="1:2" x14ac:dyDescent="0.25">
      <c r="A344" t="s">
        <v>530</v>
      </c>
      <c r="B344" t="str">
        <f>_xlfn.XLOOKUP(A344, opponents_table!D:D, opponents_table!B:B, "", 0)</f>
        <v/>
      </c>
    </row>
    <row r="345" spans="1:2" x14ac:dyDescent="0.25">
      <c r="A345" t="s">
        <v>531</v>
      </c>
      <c r="B345" t="str">
        <f>_xlfn.XLOOKUP(A345, opponents_table!D:D, opponents_table!B:B, "", 0)</f>
        <v>Garden Manager Louis</v>
      </c>
    </row>
    <row r="346" spans="1:2" x14ac:dyDescent="0.25">
      <c r="A346" t="s">
        <v>532</v>
      </c>
      <c r="B346" t="str">
        <f>_xlfn.XLOOKUP(A346, opponents_table!D:D, opponents_table!B:B, "", 0)</f>
        <v/>
      </c>
    </row>
    <row r="347" spans="1:2" x14ac:dyDescent="0.25">
      <c r="A347" t="s">
        <v>533</v>
      </c>
      <c r="B347" t="str">
        <f>_xlfn.XLOOKUP(A347, opponents_table!D:D, opponents_table!B:B, "", 0)</f>
        <v/>
      </c>
    </row>
    <row r="348" spans="1:2" x14ac:dyDescent="0.25">
      <c r="A348" t="s">
        <v>534</v>
      </c>
      <c r="B348" t="str">
        <f>_xlfn.XLOOKUP(A348, opponents_table!D:D, opponents_table!B:B, "", 0)</f>
        <v/>
      </c>
    </row>
    <row r="349" spans="1:2" x14ac:dyDescent="0.25">
      <c r="A349" t="s">
        <v>535</v>
      </c>
      <c r="B349" t="str">
        <f>_xlfn.XLOOKUP(A349, opponents_table!D:D, opponents_table!B:B, "", 0)</f>
        <v>Engineer Allan</v>
      </c>
    </row>
    <row r="350" spans="1:2" x14ac:dyDescent="0.25">
      <c r="A350" t="s">
        <v>536</v>
      </c>
      <c r="B350" t="str">
        <f>_xlfn.XLOOKUP(A350, opponents_table!D:D, opponents_table!B:B, "", 0)</f>
        <v/>
      </c>
    </row>
    <row r="351" spans="1:2" x14ac:dyDescent="0.25">
      <c r="A351" t="s">
        <v>537</v>
      </c>
      <c r="B351" t="str">
        <f>_xlfn.XLOOKUP(A351, opponents_table!D:D, opponents_table!B:B, "", 0)</f>
        <v/>
      </c>
    </row>
    <row r="352" spans="1:2" x14ac:dyDescent="0.25">
      <c r="A352" t="s">
        <v>538</v>
      </c>
      <c r="B352" t="str">
        <f>_xlfn.XLOOKUP(A352, opponents_table!D:D, opponents_table!B:B, "", 0)</f>
        <v>Sailor Bob</v>
      </c>
    </row>
    <row r="353" spans="1:2" x14ac:dyDescent="0.25">
      <c r="A353" t="s">
        <v>539</v>
      </c>
      <c r="B353" t="str">
        <f>_xlfn.XLOOKUP(A353, opponents_table!D:D, opponents_table!B:B, "", 0)</f>
        <v/>
      </c>
    </row>
    <row r="354" spans="1:2" x14ac:dyDescent="0.25">
      <c r="A354" t="s">
        <v>540</v>
      </c>
      <c r="B354" t="str">
        <f>_xlfn.XLOOKUP(A354, opponents_table!D:D, opponents_table!B:B, "", 0)</f>
        <v/>
      </c>
    </row>
    <row r="355" spans="1:2" x14ac:dyDescent="0.25">
      <c r="A355" t="s">
        <v>541</v>
      </c>
      <c r="B355" t="str">
        <f>_xlfn.XLOOKUP(A355, opponents_table!D:D, opponents_table!B:B, "", 0)</f>
        <v>Bad Dude Wayne</v>
      </c>
    </row>
    <row r="356" spans="1:2" x14ac:dyDescent="0.25">
      <c r="A356" t="s">
        <v>542</v>
      </c>
      <c r="B356" t="str">
        <f>_xlfn.XLOOKUP(A356, opponents_table!D:D, opponents_table!B:B, "", 0)</f>
        <v>Card Elder Waverly</v>
      </c>
    </row>
    <row r="357" spans="1:2" x14ac:dyDescent="0.25">
      <c r="A357" t="s">
        <v>543</v>
      </c>
      <c r="B357" t="str">
        <f>_xlfn.XLOOKUP(A357, opponents_table!D:D, opponents_table!B:B, "", 0)</f>
        <v/>
      </c>
    </row>
    <row r="358" spans="1:2" x14ac:dyDescent="0.25">
      <c r="A358" t="s">
        <v>544</v>
      </c>
      <c r="B358" t="str">
        <f>_xlfn.XLOOKUP(A358, opponents_table!D:D, opponents_table!B:B, "", 0)</f>
        <v/>
      </c>
    </row>
    <row r="359" spans="1:2" x14ac:dyDescent="0.25">
      <c r="A359" t="s">
        <v>545</v>
      </c>
      <c r="B359" t="str">
        <f>_xlfn.XLOOKUP(A359, opponents_table!D:D, opponents_table!B:B, "", 0)</f>
        <v/>
      </c>
    </row>
    <row r="360" spans="1:2" x14ac:dyDescent="0.25">
      <c r="A360" t="s">
        <v>546</v>
      </c>
      <c r="B360" t="str">
        <f>_xlfn.XLOOKUP(A360, opponents_table!D:D, opponents_table!B:B, "", 0)</f>
        <v/>
      </c>
    </row>
    <row r="361" spans="1:2" x14ac:dyDescent="0.25">
      <c r="A361" t="s">
        <v>547</v>
      </c>
      <c r="B361" t="str">
        <f>_xlfn.XLOOKUP(A361, opponents_table!D:D, opponents_table!B:B, "", 0)</f>
        <v/>
      </c>
    </row>
    <row r="362" spans="1:2" x14ac:dyDescent="0.25">
      <c r="A362" t="s">
        <v>548</v>
      </c>
      <c r="B362" t="str">
        <f>_xlfn.XLOOKUP(A362, opponents_table!D:D, opponents_table!B:B, "", 0)</f>
        <v/>
      </c>
    </row>
    <row r="363" spans="1:2" x14ac:dyDescent="0.25">
      <c r="A363" t="s">
        <v>549</v>
      </c>
      <c r="B363" t="str">
        <f>_xlfn.XLOOKUP(A363, opponents_table!D:D, opponents_table!B:B, "", 0)</f>
        <v/>
      </c>
    </row>
    <row r="364" spans="1:2" x14ac:dyDescent="0.25">
      <c r="A364" t="s">
        <v>550</v>
      </c>
      <c r="B364" t="str">
        <f>_xlfn.XLOOKUP(A364, opponents_table!D:D, opponents_table!B:B, "", 0)</f>
        <v/>
      </c>
    </row>
    <row r="365" spans="1:2" x14ac:dyDescent="0.25">
      <c r="A365" t="s">
        <v>551</v>
      </c>
      <c r="B365" t="str">
        <f>_xlfn.XLOOKUP(A365, opponents_table!D:D, opponents_table!B:B, "", 0)</f>
        <v/>
      </c>
    </row>
    <row r="366" spans="1:2" x14ac:dyDescent="0.25">
      <c r="A366" t="s">
        <v>552</v>
      </c>
      <c r="B366" t="str">
        <f>_xlfn.XLOOKUP(A366, opponents_table!D:D, opponents_table!B:B, "", 0)</f>
        <v/>
      </c>
    </row>
    <row r="367" spans="1:2" x14ac:dyDescent="0.25">
      <c r="A367" t="s">
        <v>553</v>
      </c>
      <c r="B367" t="str">
        <f>_xlfn.XLOOKUP(A367, opponents_table!D:D, opponents_table!B:B, "", 0)</f>
        <v/>
      </c>
    </row>
    <row r="368" spans="1:2" x14ac:dyDescent="0.25">
      <c r="A368" t="s">
        <v>554</v>
      </c>
      <c r="B368" t="str">
        <f>_xlfn.XLOOKUP(A368, opponents_table!D:D, opponents_table!B:B, "", 0)</f>
        <v/>
      </c>
    </row>
    <row r="369" spans="1:2" x14ac:dyDescent="0.25">
      <c r="A369" t="s">
        <v>555</v>
      </c>
      <c r="B369" t="str">
        <f>_xlfn.XLOOKUP(A369, opponents_table!D:D, opponents_table!B:B, "", 0)</f>
        <v/>
      </c>
    </row>
    <row r="370" spans="1:2" x14ac:dyDescent="0.25">
      <c r="A370" t="s">
        <v>556</v>
      </c>
      <c r="B370" t="str">
        <f>_xlfn.XLOOKUP(A370, opponents_table!D:D, opponents_table!B:B, "", 0)</f>
        <v>Misty</v>
      </c>
    </row>
    <row r="371" spans="1:2" x14ac:dyDescent="0.25">
      <c r="A371" t="s">
        <v>557</v>
      </c>
      <c r="B371" t="str">
        <f>_xlfn.XLOOKUP(A371, opponents_table!D:D, opponents_table!B:B, "", 0)</f>
        <v/>
      </c>
    </row>
    <row r="372" spans="1:2" x14ac:dyDescent="0.25">
      <c r="A372" t="s">
        <v>558</v>
      </c>
      <c r="B372" t="str">
        <f>_xlfn.XLOOKUP(A372, opponents_table!D:D, opponents_table!B:B, "", 0)</f>
        <v>Blaine</v>
      </c>
    </row>
    <row r="373" spans="1:2" x14ac:dyDescent="0.25">
      <c r="A373" t="s">
        <v>559</v>
      </c>
      <c r="B373" t="str">
        <f>_xlfn.XLOOKUP(A373, opponents_table!D:D, opponents_table!B:B, "", 0)</f>
        <v/>
      </c>
    </row>
    <row r="374" spans="1:2" x14ac:dyDescent="0.25">
      <c r="A374" t="s">
        <v>560</v>
      </c>
      <c r="B374" t="str">
        <f>_xlfn.XLOOKUP(A374, opponents_table!D:D, opponents_table!B:B, "", 0)</f>
        <v/>
      </c>
    </row>
    <row r="375" spans="1:2" x14ac:dyDescent="0.25">
      <c r="A375" t="s">
        <v>561</v>
      </c>
      <c r="B375" t="str">
        <f>_xlfn.XLOOKUP(A375, opponents_table!D:D, opponents_table!B:B, "", 0)</f>
        <v/>
      </c>
    </row>
    <row r="376" spans="1:2" x14ac:dyDescent="0.25">
      <c r="A376" t="s">
        <v>562</v>
      </c>
      <c r="B376" t="str">
        <f>_xlfn.XLOOKUP(A376, opponents_table!D:D, opponents_table!B:B, "", 0)</f>
        <v>Brock</v>
      </c>
    </row>
    <row r="377" spans="1:2" x14ac:dyDescent="0.25">
      <c r="A377" t="s">
        <v>563</v>
      </c>
      <c r="B377" t="str">
        <f>_xlfn.XLOOKUP(A377, opponents_table!D:D, opponents_table!B:B, "", 0)</f>
        <v>Koga</v>
      </c>
    </row>
    <row r="378" spans="1:2" x14ac:dyDescent="0.25">
      <c r="A378" t="s">
        <v>564</v>
      </c>
      <c r="B378" t="str">
        <f>_xlfn.XLOOKUP(A378, opponents_table!D:D, opponents_table!B:B, "", 0)</f>
        <v/>
      </c>
    </row>
    <row r="379" spans="1:2" x14ac:dyDescent="0.25">
      <c r="A379" t="s">
        <v>565</v>
      </c>
      <c r="B379" t="str">
        <f>_xlfn.XLOOKUP(A379, opponents_table!D:D, opponents_table!B:B, "", 0)</f>
        <v/>
      </c>
    </row>
    <row r="380" spans="1:2" x14ac:dyDescent="0.25">
      <c r="A380" t="s">
        <v>566</v>
      </c>
      <c r="B380" t="str">
        <f>_xlfn.XLOOKUP(A380, opponents_table!D:D, opponents_table!B:B, "", 0)</f>
        <v>Sabrina</v>
      </c>
    </row>
    <row r="381" spans="1:2" x14ac:dyDescent="0.25">
      <c r="A381" t="s">
        <v>567</v>
      </c>
      <c r="B381" t="str">
        <f>_xlfn.XLOOKUP(A381, opponents_table!D:D, opponents_table!B:B, "", 0)</f>
        <v/>
      </c>
    </row>
    <row r="382" spans="1:2" x14ac:dyDescent="0.25">
      <c r="A382" t="s">
        <v>568</v>
      </c>
      <c r="B382" t="str">
        <f>_xlfn.XLOOKUP(A382, opponents_table!D:D, opponents_table!B:B, "", 0)</f>
        <v/>
      </c>
    </row>
    <row r="383" spans="1:2" x14ac:dyDescent="0.25">
      <c r="A383" t="s">
        <v>569</v>
      </c>
      <c r="B383" t="str">
        <f>_xlfn.XLOOKUP(A383, opponents_table!D:D, opponents_table!B:B, "", 0)</f>
        <v/>
      </c>
    </row>
    <row r="384" spans="1:2" x14ac:dyDescent="0.25">
      <c r="A384" t="s">
        <v>570</v>
      </c>
      <c r="B384" t="str">
        <f>_xlfn.XLOOKUP(A384, opponents_table!D:D, opponents_table!B:B, "", 0)</f>
        <v/>
      </c>
    </row>
    <row r="385" spans="1:2" x14ac:dyDescent="0.25">
      <c r="A385" t="s">
        <v>571</v>
      </c>
      <c r="B385" t="str">
        <f>_xlfn.XLOOKUP(A385, opponents_table!D:D, opponents_table!B:B, "", 0)</f>
        <v/>
      </c>
    </row>
    <row r="386" spans="1:2" x14ac:dyDescent="0.25">
      <c r="A386" t="s">
        <v>572</v>
      </c>
      <c r="B386" t="str">
        <f>_xlfn.XLOOKUP(A386, opponents_table!D:D, opponents_table!B:B, "", 0)</f>
        <v/>
      </c>
    </row>
    <row r="387" spans="1:2" x14ac:dyDescent="0.25">
      <c r="A387" t="s">
        <v>573</v>
      </c>
      <c r="B387" t="str">
        <f>_xlfn.XLOOKUP(A387, opponents_table!D:D, opponents_table!B:B, "", 0)</f>
        <v/>
      </c>
    </row>
    <row r="388" spans="1:2" x14ac:dyDescent="0.25">
      <c r="A388" t="s">
        <v>574</v>
      </c>
      <c r="B388" t="str">
        <f>_xlfn.XLOOKUP(A388, opponents_table!D:D, opponents_table!B:B, "", 0)</f>
        <v>Giovanni</v>
      </c>
    </row>
    <row r="389" spans="1:2" x14ac:dyDescent="0.25">
      <c r="A389" t="s">
        <v>575</v>
      </c>
      <c r="B389" t="str">
        <f>_xlfn.XLOOKUP(A389, opponents_table!D:D, opponents_table!B:B, "", 0)</f>
        <v/>
      </c>
    </row>
    <row r="390" spans="1:2" x14ac:dyDescent="0.25">
      <c r="A390" t="s">
        <v>576</v>
      </c>
      <c r="B390" t="str">
        <f>_xlfn.XLOOKUP(A390, opponents_table!D:D, opponents_table!B:B, "", 0)</f>
        <v>Rocket Boss Giovanni</v>
      </c>
    </row>
    <row r="391" spans="1:2" x14ac:dyDescent="0.25">
      <c r="A391" t="s">
        <v>577</v>
      </c>
      <c r="B391" t="str">
        <f>_xlfn.XLOOKUP(A391, opponents_table!D:D, opponents_table!B:B, "", 0)</f>
        <v/>
      </c>
    </row>
    <row r="392" spans="1:2" x14ac:dyDescent="0.25">
      <c r="A392" t="s">
        <v>578</v>
      </c>
      <c r="B392" t="str">
        <f>_xlfn.XLOOKUP(A392, opponents_table!D:D, opponents_table!B:B, "", 0)</f>
        <v/>
      </c>
    </row>
    <row r="393" spans="1:2" x14ac:dyDescent="0.25">
      <c r="A393" t="s">
        <v>579</v>
      </c>
      <c r="B393" t="str">
        <f>_xlfn.XLOOKUP(A393, opponents_table!D:D, opponents_table!B:B, "", 0)</f>
        <v/>
      </c>
    </row>
    <row r="394" spans="1:2" x14ac:dyDescent="0.25">
      <c r="A394" t="s">
        <v>580</v>
      </c>
      <c r="B394" t="str">
        <f>_xlfn.XLOOKUP(A394, opponents_table!D:D, opponents_table!B:B, "", 0)</f>
        <v>Lt. Surge</v>
      </c>
    </row>
    <row r="395" spans="1:2" x14ac:dyDescent="0.25">
      <c r="A395" t="s">
        <v>581</v>
      </c>
      <c r="B395" t="str">
        <f>_xlfn.XLOOKUP(A395, opponents_table!D:D, opponents_table!B:B, "", 0)</f>
        <v/>
      </c>
    </row>
    <row r="396" spans="1:2" x14ac:dyDescent="0.25">
      <c r="A396" t="s">
        <v>582</v>
      </c>
      <c r="B396" t="str">
        <f>_xlfn.XLOOKUP(A396, opponents_table!D:D, opponents_table!B:B, "", 0)</f>
        <v/>
      </c>
    </row>
    <row r="397" spans="1:2" x14ac:dyDescent="0.25">
      <c r="A397" t="s">
        <v>583</v>
      </c>
      <c r="B397" t="str">
        <f>_xlfn.XLOOKUP(A397, opponents_table!D:D, opponents_table!B:B, "", 0)</f>
        <v/>
      </c>
    </row>
    <row r="398" spans="1:2" x14ac:dyDescent="0.25">
      <c r="A398" t="s">
        <v>584</v>
      </c>
      <c r="B398" t="str">
        <f>_xlfn.XLOOKUP(A398, opponents_table!D:D, opponents_table!B:B, "", 0)</f>
        <v/>
      </c>
    </row>
    <row r="399" spans="1:2" x14ac:dyDescent="0.25">
      <c r="A399" t="s">
        <v>585</v>
      </c>
      <c r="B399" t="str">
        <f>_xlfn.XLOOKUP(A399, opponents_table!D:D, opponents_table!B:B, "", 0)</f>
        <v/>
      </c>
    </row>
    <row r="400" spans="1:2" x14ac:dyDescent="0.25">
      <c r="A400" t="s">
        <v>586</v>
      </c>
      <c r="B400" t="str">
        <f>_xlfn.XLOOKUP(A400, opponents_table!D:D, opponents_table!B:B, "", 0)</f>
        <v/>
      </c>
    </row>
    <row r="401" spans="1:2" x14ac:dyDescent="0.25">
      <c r="A401" t="s">
        <v>587</v>
      </c>
      <c r="B401" t="str">
        <f>_xlfn.XLOOKUP(A401, opponents_table!D:D, opponents_table!B:B, "", 0)</f>
        <v/>
      </c>
    </row>
    <row r="402" spans="1:2" x14ac:dyDescent="0.25">
      <c r="A402" t="s">
        <v>588</v>
      </c>
      <c r="B402" t="str">
        <f>_xlfn.XLOOKUP(A402, opponents_table!D:D, opponents_table!B:B, "", 0)</f>
        <v/>
      </c>
    </row>
    <row r="403" spans="1:2" x14ac:dyDescent="0.25">
      <c r="A403" t="s">
        <v>589</v>
      </c>
      <c r="B403" t="str">
        <f>_xlfn.XLOOKUP(A403, opponents_table!D:D, opponents_table!B:B, "", 0)</f>
        <v/>
      </c>
    </row>
    <row r="404" spans="1:2" x14ac:dyDescent="0.25">
      <c r="A404" t="s">
        <v>590</v>
      </c>
      <c r="B404" t="str">
        <f>_xlfn.XLOOKUP(A404, opponents_table!D:D, opponents_table!B:B, "", 0)</f>
        <v>Erika</v>
      </c>
    </row>
    <row r="405" spans="1:2" x14ac:dyDescent="0.25">
      <c r="A405" t="s">
        <v>591</v>
      </c>
      <c r="B405" t="str">
        <f>_xlfn.XLOOKUP(A405, opponents_table!D:D, opponents_table!B:B, "", 0)</f>
        <v/>
      </c>
    </row>
    <row r="406" spans="1:2" x14ac:dyDescent="0.25">
      <c r="A406" t="s">
        <v>592</v>
      </c>
      <c r="B406" t="str">
        <f>_xlfn.XLOOKUP(A406, opponents_table!D:D, opponents_table!B:B, "", 0)</f>
        <v/>
      </c>
    </row>
    <row r="407" spans="1:2" x14ac:dyDescent="0.25">
      <c r="A407" t="s">
        <v>593</v>
      </c>
      <c r="B407" t="str">
        <f>_xlfn.XLOOKUP(A407, opponents_table!D:D, opponents_table!B:B, "", 0)</f>
        <v/>
      </c>
    </row>
    <row r="408" spans="1:2" x14ac:dyDescent="0.25">
      <c r="A408" t="s">
        <v>594</v>
      </c>
      <c r="B408" t="str">
        <f>_xlfn.XLOOKUP(A408, opponents_table!D:D, opponents_table!B:B, "", 0)</f>
        <v/>
      </c>
    </row>
    <row r="409" spans="1:2" x14ac:dyDescent="0.25">
      <c r="A409" t="s">
        <v>595</v>
      </c>
      <c r="B409" t="str">
        <f>_xlfn.XLOOKUP(A409, opponents_table!D:D, opponents_table!B:B, "", 0)</f>
        <v/>
      </c>
    </row>
    <row r="410" spans="1:2" x14ac:dyDescent="0.25">
      <c r="A410" t="s">
        <v>596</v>
      </c>
      <c r="B410" t="str">
        <f>_xlfn.XLOOKUP(A410, opponents_table!D:D, opponents_table!B:B, "", 0)</f>
        <v/>
      </c>
    </row>
    <row r="411" spans="1:2" x14ac:dyDescent="0.25">
      <c r="A411" t="s">
        <v>597</v>
      </c>
      <c r="B411" t="str">
        <f>_xlfn.XLOOKUP(A411, opponents_table!D:D, opponents_table!B:B, "", 0)</f>
        <v/>
      </c>
    </row>
    <row r="412" spans="1:2" x14ac:dyDescent="0.25">
      <c r="A412" t="s">
        <v>598</v>
      </c>
      <c r="B412" t="str">
        <f>_xlfn.XLOOKUP(A412, opponents_table!D:D, opponents_table!B:B, "", 0)</f>
        <v/>
      </c>
    </row>
    <row r="413" spans="1:2" x14ac:dyDescent="0.25">
      <c r="A413" t="s">
        <v>599</v>
      </c>
      <c r="B413" t="str">
        <f>_xlfn.XLOOKUP(A413, opponents_table!D:D, opponents_table!B:B, "", 0)</f>
        <v/>
      </c>
    </row>
    <row r="414" spans="1:2" x14ac:dyDescent="0.25">
      <c r="A414" t="s">
        <v>600</v>
      </c>
      <c r="B414" t="str">
        <f>_xlfn.XLOOKUP(A414, opponents_table!D:D, opponents_table!B:B, "", 0)</f>
        <v/>
      </c>
    </row>
    <row r="415" spans="1:2" x14ac:dyDescent="0.25">
      <c r="A415" t="s">
        <v>601</v>
      </c>
      <c r="B415" t="str">
        <f>_xlfn.XLOOKUP(A415, opponents_table!D:D, opponents_table!B:B, "", 0)</f>
        <v/>
      </c>
    </row>
    <row r="416" spans="1:2" x14ac:dyDescent="0.25">
      <c r="A416" t="s">
        <v>602</v>
      </c>
      <c r="B416" t="str">
        <f>_xlfn.XLOOKUP(A416, opponents_table!D:D, opponents_table!B:B, "", 0)</f>
        <v/>
      </c>
    </row>
    <row r="417" spans="1:2" x14ac:dyDescent="0.25">
      <c r="A417" t="s">
        <v>603</v>
      </c>
      <c r="B417" t="str">
        <f>_xlfn.XLOOKUP(A417, opponents_table!D:D, opponents_table!B:B, "", 0)</f>
        <v/>
      </c>
    </row>
    <row r="418" spans="1:2" x14ac:dyDescent="0.25">
      <c r="A418" t="s">
        <v>604</v>
      </c>
      <c r="B418" t="str">
        <f>_xlfn.XLOOKUP(A418, opponents_table!D:D, opponents_table!B:B, "", 0)</f>
        <v/>
      </c>
    </row>
    <row r="419" spans="1:2" x14ac:dyDescent="0.25">
      <c r="A419" t="s">
        <v>605</v>
      </c>
      <c r="B419" t="str">
        <f>_xlfn.XLOOKUP(A419, opponents_table!D:D, opponents_table!B:B, "", 0)</f>
        <v/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opponents_table</vt:lpstr>
      <vt:lpstr>coins_table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Olly Rogers</dc:creator>
  <cp:lastModifiedBy>Olly Rogers</cp:lastModifiedBy>
  <dcterms:created xsi:type="dcterms:W3CDTF">2026-04-23T11:54:45Z</dcterms:created>
  <dcterms:modified xsi:type="dcterms:W3CDTF">2026-05-27T11:23:55Z</dcterms:modified>
</cp:coreProperties>
</file>
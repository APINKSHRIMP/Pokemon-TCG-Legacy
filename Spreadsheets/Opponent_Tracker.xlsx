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FF9DD1ED-4F86-43CE-9833-84758C142FC7}" xr6:coauthVersionLast="47" xr6:coauthVersionMax="47" xr10:uidLastSave="{00000000-0000-0000-0000-000000000000}"/>
  <bookViews>
    <workbookView xWindow="-105" yWindow="0" windowWidth="29010" windowHeight="15585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8" i="1" l="1"/>
  <c r="AG7" i="1"/>
  <c r="AF7" i="1"/>
  <c r="AE7" i="1"/>
  <c r="AG6" i="1"/>
  <c r="AF6" i="1"/>
  <c r="AE6" i="1"/>
  <c r="AG4" i="1"/>
  <c r="AF4" i="1"/>
  <c r="AE4" i="1"/>
  <c r="AG3" i="1"/>
  <c r="AF3" i="1"/>
  <c r="AE3" i="1"/>
  <c r="AD7" i="1"/>
  <c r="AC7" i="1"/>
  <c r="AB7" i="1"/>
  <c r="AD6" i="1"/>
  <c r="AC6" i="1"/>
  <c r="AB6" i="1"/>
  <c r="AD4" i="1"/>
  <c r="AC4" i="1"/>
  <c r="AB4" i="1"/>
  <c r="AD3" i="1"/>
  <c r="AC3" i="1"/>
  <c r="AB3" i="1"/>
  <c r="S6" i="1"/>
  <c r="AA7" i="1"/>
  <c r="AA6" i="1"/>
  <c r="Z7" i="1"/>
  <c r="Z6" i="1"/>
  <c r="Y7" i="1"/>
  <c r="Y6" i="1"/>
  <c r="X7" i="1"/>
  <c r="X6" i="1"/>
  <c r="W7" i="1"/>
  <c r="W6" i="1"/>
  <c r="V7" i="1"/>
  <c r="V6" i="1"/>
  <c r="U7" i="1"/>
  <c r="U6" i="1"/>
  <c r="T7" i="1"/>
  <c r="T6" i="1"/>
  <c r="S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7" i="1"/>
  <c r="D106" i="1"/>
  <c r="D105" i="1"/>
  <c r="D104" i="1"/>
  <c r="D103" i="1"/>
  <c r="D102" i="1"/>
  <c r="D101" i="1"/>
  <c r="D100" i="1"/>
  <c r="D90" i="1"/>
  <c r="D81" i="1"/>
  <c r="D97" i="1"/>
  <c r="D69" i="1"/>
  <c r="D67" i="1"/>
  <c r="D68" i="1"/>
  <c r="D66" i="1"/>
  <c r="D65" i="1"/>
  <c r="D78" i="1"/>
  <c r="D77" i="1"/>
  <c r="D76" i="1"/>
  <c r="D86" i="1"/>
  <c r="D74" i="1"/>
  <c r="D73" i="1"/>
  <c r="D96" i="1"/>
  <c r="D72" i="1"/>
  <c r="D85" i="1"/>
  <c r="D94" i="1"/>
  <c r="D84" i="1"/>
  <c r="D70" i="1"/>
  <c r="D80" i="1"/>
  <c r="D79" i="1"/>
  <c r="D93" i="1"/>
  <c r="D92" i="1"/>
  <c r="D91" i="1"/>
  <c r="D89" i="1"/>
  <c r="D64" i="1"/>
  <c r="D75" i="1"/>
  <c r="D98" i="1"/>
  <c r="D87" i="1"/>
  <c r="D88" i="1"/>
  <c r="D71" i="1"/>
  <c r="D83" i="1"/>
  <c r="D82" i="1"/>
  <c r="D63" i="1"/>
  <c r="D62" i="1"/>
  <c r="D95" i="1"/>
  <c r="D61" i="1"/>
  <c r="D60" i="1"/>
  <c r="D59" i="1"/>
  <c r="D58" i="1"/>
  <c r="D57" i="1"/>
  <c r="D56" i="1"/>
  <c r="D55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G8" i="1" l="1"/>
  <c r="AB8" i="1"/>
  <c r="S8" i="1"/>
  <c r="Y8" i="1"/>
  <c r="V8" i="1"/>
  <c r="M8" i="1"/>
  <c r="J8" i="1"/>
  <c r="P8" i="1"/>
  <c r="S9" i="1" l="1"/>
  <c r="G10" i="1"/>
  <c r="G9" i="1"/>
</calcChain>
</file>

<file path=xl/sharedStrings.xml><?xml version="1.0" encoding="utf-8"?>
<sst xmlns="http://schemas.openxmlformats.org/spreadsheetml/2006/main" count="1148" uniqueCount="796">
  <si>
    <t>CELESTE HARBOUR</t>
  </si>
  <si>
    <t>Day 1</t>
  </si>
  <si>
    <t>Eve 1</t>
  </si>
  <si>
    <t>Day 2</t>
  </si>
  <si>
    <t>Eve 2</t>
  </si>
  <si>
    <t>Day 3</t>
  </si>
  <si>
    <t>Eve 3</t>
  </si>
  <si>
    <t>Day 4</t>
  </si>
  <si>
    <t>Eve 4</t>
  </si>
  <si>
    <t>Day 5</t>
  </si>
  <si>
    <t>Eve 5</t>
  </si>
  <si>
    <t>Day 6</t>
  </si>
  <si>
    <t>Eve 6</t>
  </si>
  <si>
    <t>Day 7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</si>
  <si>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</si>
  <si>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</si>
  <si>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</si>
  <si>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</si>
  <si>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</si>
  <si>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</si>
  <si>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</si>
  <si>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</si>
  <si>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</si>
  <si>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</si>
  <si>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</si>
  <si>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</si>
  <si>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</si>
  <si>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</si>
  <si>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</si>
  <si>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</si>
  <si>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</si>
  <si>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</si>
  <si>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</si>
  <si>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</si>
  <si>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</si>
  <si>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</si>
  <si>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</si>
  <si>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</si>
  <si>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</si>
  <si>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</si>
  <si>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</si>
  <si>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</si>
  <si>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</si>
  <si>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</si>
  <si>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</si>
  <si>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</si>
  <si>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</si>
  <si>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</si>
  <si>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</si>
  <si>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</si>
  <si>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</si>
  <si>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</si>
  <si>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</si>
  <si>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</si>
  <si>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</si>
  <si>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</si>
  <si>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</si>
  <si>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</si>
  <si>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</si>
  <si>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</si>
  <si>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</si>
  <si>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</si>
  <si>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</si>
  <si>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</si>
  <si>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</si>
  <si>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</si>
  <si>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</si>
  <si>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</si>
  <si>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</si>
  <si>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</si>
  <si>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</si>
  <si>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</si>
  <si>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</si>
  <si>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</si>
  <si>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</si>
  <si>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</si>
  <si>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</si>
  <si>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</si>
  <si>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</si>
  <si>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</si>
  <si>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</si>
  <si>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</si>
  <si>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</si>
  <si>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</si>
  <si>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</si>
  <si>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</si>
  <si>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</si>
  <si>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</si>
  <si>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</si>
  <si>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</si>
  <si>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</si>
  <si>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</si>
  <si>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</si>
  <si>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</si>
  <si>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</si>
  <si>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</si>
  <si>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</si>
  <si>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</si>
  <si>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</si>
  <si>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</si>
  <si>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</si>
  <si>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</si>
  <si>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</si>
  <si>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</si>
  <si>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</si>
  <si>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</si>
  <si>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</si>
  <si>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</si>
  <si>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</si>
  <si>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</si>
  <si>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</si>
  <si>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</si>
  <si>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</si>
  <si>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</si>
  <si>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</si>
  <si>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</si>
  <si>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</si>
  <si>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</si>
  <si>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</si>
  <si>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</si>
  <si>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</si>
  <si>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</si>
  <si>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</si>
  <si>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</si>
  <si>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</si>
  <si>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</si>
  <si>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</si>
  <si>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</si>
  <si>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</si>
  <si>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</si>
  <si>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</si>
  <si>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</si>
  <si>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</si>
  <si>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</si>
  <si>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</si>
  <si>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</si>
  <si>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</si>
  <si>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</si>
  <si>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</si>
  <si>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</si>
  <si>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</si>
  <si>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</si>
  <si>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</si>
  <si>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</si>
  <si>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</si>
  <si>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</si>
  <si>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</si>
  <si>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</si>
  <si>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</si>
  <si>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</si>
  <si>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</si>
  <si>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</si>
  <si>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</si>
  <si>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</si>
  <si>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</si>
  <si>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</si>
  <si>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</si>
  <si>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</si>
  <si>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</si>
  <si>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</si>
  <si>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</si>
  <si>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</si>
  <si>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</si>
  <si>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</si>
  <si>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</si>
  <si>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</si>
  <si>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</si>
  <si>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</si>
  <si>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</si>
  <si>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</si>
  <si>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</si>
  <si>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</si>
  <si>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</si>
  <si>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</si>
  <si>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</si>
  <si>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</si>
  <si>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</si>
  <si>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</si>
  <si>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</si>
  <si>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</si>
  <si>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</si>
  <si>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</si>
  <si>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</si>
  <si>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</si>
  <si>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</si>
  <si>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</si>
  <si>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</si>
  <si>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</si>
  <si>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</si>
  <si>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</si>
  <si>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</si>
  <si>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</si>
  <si>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</si>
  <si>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</si>
  <si>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</si>
  <si>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</si>
  <si>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</si>
  <si>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</si>
  <si>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</si>
  <si>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</si>
  <si>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</si>
  <si>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</si>
  <si>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</si>
  <si>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</si>
  <si>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</si>
  <si>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</si>
  <si>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</si>
  <si>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</si>
  <si>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</si>
  <si>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</si>
  <si>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</si>
  <si>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</si>
  <si>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</si>
  <si>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</si>
  <si>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</si>
  <si>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</si>
  <si>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</si>
  <si>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</si>
  <si>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</si>
  <si>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</si>
  <si>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</si>
  <si>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</si>
  <si>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</si>
  <si>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</si>
  <si>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</si>
  <si>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</si>
  <si>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</si>
  <si>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</si>
  <si>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</si>
  <si>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</si>
  <si>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</si>
  <si>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</si>
  <si>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</si>
  <si>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</si>
  <si>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</si>
  <si>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</si>
  <si>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</si>
  <si>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</si>
  <si>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</si>
  <si>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</si>
  <si>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</si>
  <si>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</si>
  <si>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</si>
  <si>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</si>
  <si>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</si>
  <si>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</si>
  <si>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</si>
  <si>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</si>
  <si>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</si>
  <si>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</si>
  <si>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</si>
  <si>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</si>
  <si>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</si>
  <si>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</si>
  <si>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</si>
  <si>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</si>
  <si>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</si>
  <si>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</si>
  <si>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</si>
  <si>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</si>
  <si>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</si>
  <si>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</si>
  <si>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</si>
  <si>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</si>
  <si>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</si>
  <si>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</si>
  <si>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</si>
  <si>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</si>
  <si>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</si>
  <si>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</si>
  <si>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</si>
  <si>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</si>
  <si>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</si>
  <si>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</si>
  <si>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</si>
  <si>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</si>
  <si>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</si>
  <si>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</si>
  <si>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</si>
  <si>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</si>
  <si>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</si>
  <si>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</si>
  <si>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</si>
  <si>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</si>
  <si>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</si>
  <si>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</si>
  <si>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</si>
  <si>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</si>
  <si>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</si>
  <si>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</si>
  <si>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</si>
  <si>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</si>
  <si>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</si>
  <si>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</si>
  <si>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</si>
  <si>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</si>
  <si>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</si>
  <si>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</si>
  <si>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</si>
  <si>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</si>
  <si>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</si>
  <si>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</si>
  <si>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</si>
  <si>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</si>
  <si>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</si>
  <si>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</si>
  <si>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</si>
  <si>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</si>
  <si>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</si>
  <si>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</si>
  <si>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</si>
  <si>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</si>
  <si>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</si>
  <si>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</si>
  <si>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</si>
  <si>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</si>
  <si>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</si>
  <si>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</si>
  <si>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</si>
  <si>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</si>
  <si>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</si>
  <si>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</si>
  <si>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</si>
  <si>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</si>
  <si>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</si>
  <si>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</si>
  <si>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</si>
  <si>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</si>
  <si>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</si>
  <si>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</si>
  <si>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</si>
  <si>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</si>
  <si>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</si>
  <si>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</si>
  <si>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</si>
  <si>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</si>
  <si>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Zz Eevee Brown</t>
  </si>
  <si>
    <t>Dragon Rage</t>
  </si>
  <si>
    <t>Zz Blastoise Blue</t>
  </si>
  <si>
    <t>Zz Pikachu Gold</t>
  </si>
  <si>
    <t>Zz Venusaur Green</t>
  </si>
  <si>
    <t>Zz Espeon Umbreon Silver</t>
  </si>
  <si>
    <t>ZZ Gengar Silver</t>
  </si>
  <si>
    <t>Incinerator</t>
  </si>
  <si>
    <t>Zz Charizard Red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</si>
  <si>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</si>
  <si>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</si>
  <si>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</si>
  <si>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</si>
  <si>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</si>
  <si>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</si>
  <si>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</si>
  <si>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</si>
  <si>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</si>
  <si>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</si>
  <si>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</si>
  <si>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</si>
  <si>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</si>
  <si>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</si>
  <si>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</si>
  <si>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</si>
  <si>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</si>
  <si>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</si>
  <si>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</si>
  <si>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</si>
  <si>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</si>
  <si>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</si>
  <si>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</si>
  <si>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</si>
  <si>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</si>
  <si>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</si>
  <si>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</si>
  <si>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</si>
  <si>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</si>
  <si>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</si>
  <si>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</si>
  <si>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</si>
  <si>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</si>
  <si>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</si>
  <si>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</si>
  <si>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</si>
  <si>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</si>
  <si>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</si>
  <si>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</si>
  <si>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</si>
  <si>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</si>
  <si>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</si>
  <si>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</si>
  <si>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</si>
  <si>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</si>
  <si>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</si>
  <si>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</si>
  <si>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</si>
  <si>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</si>
  <si>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</si>
  <si>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</si>
  <si>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</si>
  <si>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</si>
  <si>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</si>
  <si>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</si>
  <si>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</si>
  <si>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</si>
  <si>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</si>
  <si>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</si>
  <si>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</si>
  <si>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</si>
  <si>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</si>
  <si>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</si>
  <si>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</si>
  <si>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</si>
  <si>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</si>
  <si>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</si>
  <si>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</si>
  <si>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</si>
  <si>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</si>
  <si>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</si>
  <si>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</si>
  <si>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</si>
  <si>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</si>
  <si>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</si>
  <si>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</si>
  <si>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</si>
  <si>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</si>
  <si>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</si>
  <si>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</si>
  <si>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</si>
  <si>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</si>
  <si>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</si>
  <si>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</si>
  <si>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</si>
  <si>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</si>
  <si>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</si>
  <si>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</si>
  <si>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</si>
  <si>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</si>
  <si>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</si>
  <si>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</si>
  <si>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</si>
  <si>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</si>
  <si>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</si>
  <si>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</si>
  <si>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</si>
  <si>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</si>
  <si>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</si>
  <si>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</si>
  <si>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</si>
  <si>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</si>
  <si>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</si>
  <si>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</si>
  <si>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</si>
  <si>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</si>
  <si>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</si>
  <si>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</si>
  <si>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</si>
  <si>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</si>
  <si>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</si>
  <si>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</si>
  <si>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</si>
  <si>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</si>
  <si>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</si>
  <si>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</si>
  <si>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</si>
  <si>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</si>
  <si>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</si>
  <si>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</si>
  <si>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</si>
  <si>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</si>
  <si>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</si>
  <si>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</si>
  <si>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</si>
  <si>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</si>
  <si>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</si>
  <si>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</si>
  <si>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</si>
  <si>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</si>
  <si>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</si>
  <si>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</si>
  <si>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</si>
  <si>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</si>
  <si>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</si>
  <si>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</si>
  <si>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</si>
  <si>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</si>
  <si>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</si>
  <si>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</si>
  <si>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</si>
  <si>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</si>
  <si>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</si>
  <si>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</si>
  <si>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</si>
  <si>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</si>
  <si>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</si>
  <si>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</si>
  <si>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</si>
  <si>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</si>
  <si>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</si>
  <si>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</si>
  <si>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</si>
  <si>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</si>
  <si>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</si>
  <si>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</si>
  <si>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</si>
  <si>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</si>
  <si>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</si>
  <si>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</si>
  <si>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</si>
  <si>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</si>
  <si>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</si>
  <si>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</si>
  <si>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</si>
  <si>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</si>
  <si>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</si>
  <si>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</si>
  <si>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</si>
  <si>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</si>
  <si>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</si>
  <si>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</si>
  <si>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</si>
  <si>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</si>
  <si>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</si>
  <si>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</si>
  <si>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</si>
  <si>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</si>
  <si>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</si>
  <si>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</si>
  <si>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</si>
  <si>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</si>
  <si>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</si>
  <si>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</si>
  <si>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</si>
  <si>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</si>
  <si>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</si>
  <si>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</si>
  <si>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</si>
  <si>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</si>
  <si>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</si>
  <si>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</si>
  <si>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</si>
  <si>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</si>
  <si>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</si>
  <si>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</si>
  <si>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</si>
  <si>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</si>
  <si>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</si>
  <si>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</si>
  <si>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</si>
  <si>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</si>
  <si>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</si>
  <si>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</si>
  <si>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</si>
  <si>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</si>
  <si>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</si>
  <si>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</si>
  <si>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</si>
  <si>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</si>
  <si>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</si>
  <si>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</si>
  <si>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</si>
  <si>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</si>
  <si>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</si>
  <si>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</si>
  <si>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</si>
  <si>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</si>
  <si>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</si>
  <si>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</si>
  <si>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</si>
  <si>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</si>
  <si>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</si>
  <si>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</si>
  <si>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</si>
  <si>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</si>
  <si>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</si>
  <si>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</si>
  <si>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</si>
  <si>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</si>
  <si>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</si>
  <si>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</si>
  <si>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</si>
  <si>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</si>
  <si>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</si>
  <si>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</si>
  <si>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</si>
  <si>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</si>
  <si>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</si>
  <si>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</si>
  <si>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</si>
  <si>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</si>
  <si>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</si>
  <si>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</si>
  <si>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</si>
  <si>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</si>
  <si>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</si>
  <si>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</si>
  <si>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</si>
  <si>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</si>
  <si>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</si>
  <si>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</si>
  <si>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</si>
  <si>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</si>
  <si>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</si>
  <si>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</si>
  <si>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</si>
  <si>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</si>
  <si>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</si>
  <si>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</si>
  <si>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</si>
  <si>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</si>
  <si>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</si>
  <si>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</si>
  <si>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</si>
  <si>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</si>
  <si>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</si>
  <si>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</si>
  <si>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</si>
  <si>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</si>
  <si>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</si>
  <si>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</si>
  <si>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</si>
  <si>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</si>
  <si>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</si>
  <si>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</si>
  <si>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</si>
  <si>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</si>
  <si>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</si>
  <si>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</si>
  <si>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</si>
  <si>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</si>
  <si>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</si>
  <si>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</si>
  <si>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</si>
  <si>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</si>
  <si>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</si>
  <si>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</si>
  <si>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</si>
  <si>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</si>
  <si>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</si>
  <si>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</si>
  <si>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</si>
  <si>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</si>
  <si>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</si>
  <si>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</si>
  <si>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</si>
  <si>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</si>
  <si>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</si>
  <si>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</si>
  <si>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</si>
  <si>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</si>
  <si>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</si>
  <si>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</si>
  <si>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</si>
  <si>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</si>
  <si>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</si>
  <si>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</si>
  <si>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</si>
  <si>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</si>
  <si>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</si>
  <si>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</si>
  <si>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</si>
  <si>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</si>
  <si>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</si>
  <si>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</si>
  <si>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</si>
  <si>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</si>
  <si>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</si>
  <si>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</si>
  <si>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</si>
  <si>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</si>
  <si>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</si>
  <si>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</si>
  <si>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</si>
  <si>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</si>
  <si>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</si>
  <si>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</si>
  <si>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</si>
  <si>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</si>
  <si>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</si>
  <si>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</si>
  <si>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</si>
  <si>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</si>
  <si>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</si>
  <si>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</si>
  <si>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</si>
  <si>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</si>
  <si>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</si>
  <si>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</si>
  <si>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</si>
  <si>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</si>
  <si>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</si>
  <si>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</si>
  <si>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</si>
  <si>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</si>
  <si>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</si>
  <si>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</si>
  <si>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</si>
  <si>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</si>
  <si>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</si>
  <si>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</si>
  <si>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</si>
  <si>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</si>
  <si>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</si>
  <si>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</si>
  <si>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</si>
  <si>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</si>
  <si>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</si>
  <si>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</si>
  <si>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</si>
  <si>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</si>
  <si>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</si>
  <si>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</si>
  <si>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</si>
  <si>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</si>
  <si>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</si>
  <si>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</si>
  <si>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</si>
  <si>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</si>
  <si>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</si>
  <si>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</si>
  <si>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</si>
  <si>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</si>
  <si>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</si>
  <si>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</si>
  <si>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</si>
  <si>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</si>
  <si>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</si>
  <si>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</si>
  <si>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</si>
  <si>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</si>
  <si>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</si>
  <si>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</si>
  <si>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</si>
  <si>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</si>
  <si>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</si>
  <si>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</si>
  <si>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</si>
  <si>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</si>
  <si>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</si>
  <si>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</si>
  <si>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</si>
  <si>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</si>
  <si>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</si>
  <si>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</si>
  <si>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</si>
  <si>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</si>
  <si>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</si>
  <si>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</si>
  <si>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</si>
  <si>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</si>
  <si>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</si>
  <si>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</si>
  <si>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</si>
  <si>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</si>
  <si>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</si>
  <si>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</si>
  <si>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</si>
  <si>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</si>
  <si>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</si>
  <si>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</si>
  <si>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</si>
  <si>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</si>
  <si>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</si>
  <si>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</si>
  <si>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</si>
  <si>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</si>
  <si>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</si>
  <si>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</si>
  <si>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</si>
  <si>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</si>
  <si>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</si>
  <si>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</si>
  <si>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</si>
  <si>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</si>
  <si>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</si>
  <si>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</si>
  <si>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</si>
  <si>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</si>
  <si>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</si>
  <si>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</si>
  <si>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</si>
  <si>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</si>
  <si>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CELESTE HARBOUR
VERDANT FOREST
8</t>
  </si>
  <si>
    <t>Day 8</t>
  </si>
  <si>
    <t>Eve 8</t>
  </si>
  <si>
    <t>Nite 8</t>
  </si>
  <si>
    <t>FOREST GYM LEADERS</t>
  </si>
  <si>
    <t>Gym Challenge Brock</t>
  </si>
  <si>
    <t>Gym Challenge Misty</t>
  </si>
  <si>
    <t>Gym Challenge Lt. Surge</t>
  </si>
  <si>
    <t>Gym Challenge Erika</t>
  </si>
  <si>
    <t>Gym Challenge Koga</t>
  </si>
  <si>
    <t>Gym Challenge Sabrina</t>
  </si>
  <si>
    <t>Gym Challenge Blaine</t>
  </si>
  <si>
    <t>Gym Challenge Giovanni</t>
  </si>
  <si>
    <t>GYM CHALLENGE
9</t>
  </si>
  <si>
    <t>Day 9</t>
  </si>
  <si>
    <t>Eve 9</t>
  </si>
  <si>
    <t>Nite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</si>
</sst>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rgb="FF2D55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rgb="FFFEE7B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F9E1D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rgb="FFEE3300"/>
        <bgColor indexed="64"/>
      </patternFill>
    </fill>
    <fill>
      <patternFill patternType="solid">
        <fgColor rgb="FF83138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1A2BC8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  <fill>
      <patternFill patternType="solid">
        <fgColor rgb="FFA1E9D3"/>
        <bgColor indexed="64"/>
      </patternFill>
    </fill>
    <fill>
      <patternFill patternType="solid">
        <fgColor rgb="FFFFBA9B"/>
        <bgColor indexed="64"/>
      </patternFill>
    </fill>
    <fill>
      <patternFill patternType="solid">
        <fgColor rgb="FF538CFF"/>
        <bgColor indexed="64"/>
      </patternFill>
    </fill>
    <fill>
      <patternFill patternType="solid">
        <fgColor rgb="FFFFC697"/>
        <bgColor indexed="64"/>
      </patternFill>
    </fill>
    <fill>
      <patternFill patternType="solid">
        <fgColor rgb="FFBF9FFF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18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26" borderId="0" xfId="0" applyFill="1"/>
    <xf numFmtId="0" fontId="1" fillId="26" borderId="0" xfId="0" applyFont="1" applyFill="1"/>
    <xf numFmtId="0" fontId="0" fillId="26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7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26" borderId="0" xfId="0" applyFont="1" applyFill="1" applyAlignment="1">
      <alignment horizontal="center"/>
    </xf>
    <xf numFmtId="0" fontId="0" fillId="26" borderId="0" xfId="0" applyFill="1" applyAlignment="1">
      <alignment horizontal="center"/>
    </xf>
    <xf numFmtId="0" fontId="3" fillId="22" borderId="2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6" borderId="2" xfId="0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29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 vertical="center"/>
    </xf>
    <xf numFmtId="0" fontId="3" fillId="31" borderId="6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right" vertical="center" wrapText="1"/>
    </xf>
    <xf numFmtId="0" fontId="0" fillId="0" borderId="0" xfId="0"/>
    <xf numFmtId="0" fontId="1" fillId="10" borderId="5" xfId="0" applyFont="1" applyFill="1" applyBorder="1" applyAlignment="1">
      <alignment horizontal="center" vertical="center" textRotation="90"/>
    </xf>
    <xf numFmtId="0" fontId="1" fillId="8" borderId="4" xfId="0" applyFont="1" applyFill="1" applyBorder="1" applyAlignment="1">
      <alignment horizontal="center"/>
    </xf>
    <xf numFmtId="0" fontId="0" fillId="0" borderId="4" xfId="0" applyBorder="1"/>
    <xf numFmtId="0" fontId="4" fillId="38" borderId="3" xfId="0" applyFont="1" applyFill="1" applyBorder="1"/>
    <xf numFmtId="0" fontId="1" fillId="0" borderId="4" xfId="0" applyFont="1" applyBorder="1" applyAlignment="1">
      <alignment horizontal="center"/>
    </xf>
    <xf numFmtId="0" fontId="1" fillId="8" borderId="0" xfId="0" applyFont="1" applyFill="1" applyAlignment="1">
      <alignment horizontal="right" vertical="center" wrapText="1"/>
    </xf>
    <xf numFmtId="0" fontId="1" fillId="14" borderId="0" xfId="0" applyFont="1" applyFill="1" applyAlignment="1">
      <alignment horizontal="center" vertical="center" textRotation="90"/>
    </xf>
    <xf numFmtId="0" fontId="3" fillId="7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1" fillId="0" borderId="0" xfId="0" applyFont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/>
    </xf>
    <xf numFmtId="0" fontId="4" fillId="42" borderId="3" xfId="0" applyFont="1" applyFill="1" applyBorder="1"/>
    <xf numFmtId="0" fontId="1" fillId="7" borderId="4" xfId="0" applyFont="1" applyFill="1" applyBorder="1" applyAlignment="1">
      <alignment horizontal="center"/>
    </xf>
    <xf numFmtId="0" fontId="5" fillId="6" borderId="0" xfId="0" applyFont="1" applyFill="1" applyBorder="1" applyAlignment="1">
      <alignment horizontal="center" vertical="center"/>
    </xf>
    <xf numFmtId="0" fontId="3" fillId="39" borderId="0" xfId="0" applyFont="1" applyFill="1" applyBorder="1" applyAlignment="1">
      <alignment horizontal="center" vertical="center"/>
    </xf>
    <xf numFmtId="0" fontId="0" fillId="0" borderId="0" xfId="0" applyBorder="1"/>
    <xf numFmtId="0" fontId="0" fillId="26" borderId="0" xfId="0" applyFill="1" applyBorder="1"/>
    <xf numFmtId="0" fontId="4" fillId="0" borderId="0" xfId="0" applyFont="1" applyBorder="1"/>
    <xf numFmtId="0" fontId="3" fillId="26" borderId="0" xfId="0" applyFont="1" applyFill="1" applyBorder="1"/>
    <xf numFmtId="0" fontId="4" fillId="26" borderId="0" xfId="0" applyFont="1" applyFill="1" applyBorder="1"/>
    <xf numFmtId="0" fontId="3" fillId="29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37" borderId="0" xfId="0" applyFont="1" applyFill="1" applyBorder="1"/>
    <xf numFmtId="0" fontId="6" fillId="0" borderId="1" xfId="1" applyFont="1" applyBorder="1" applyAlignment="1">
      <alignment horizontal="center" vertical="center"/>
    </xf>
    <xf numFmtId="0" fontId="3" fillId="24" borderId="0" xfId="0" applyFont="1" applyFill="1" applyBorder="1" applyAlignment="1">
      <alignment horizontal="center" vertical="center"/>
    </xf>
    <xf numFmtId="0" fontId="4" fillId="29" borderId="0" xfId="0" applyFont="1" applyFill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 applyAlignment="1">
      <alignment horizontal="center" vertical="center"/>
    </xf>
    <xf numFmtId="0" fontId="4" fillId="26" borderId="0" xfId="0" applyFont="1" applyFill="1" applyBorder="1" applyAlignment="1">
      <alignment horizontal="center" vertical="center"/>
    </xf>
    <xf numFmtId="0" fontId="3" fillId="32" borderId="7" xfId="0" applyFont="1" applyFill="1" applyBorder="1" applyAlignment="1">
      <alignment horizontal="center" vertical="center" wrapText="1"/>
    </xf>
    <xf numFmtId="0" fontId="3" fillId="32" borderId="8" xfId="0" applyFont="1" applyFill="1" applyBorder="1" applyAlignment="1">
      <alignment horizontal="center" vertical="center" wrapText="1"/>
    </xf>
    <xf numFmtId="0" fontId="3" fillId="32" borderId="9" xfId="0" applyFont="1" applyFill="1" applyBorder="1" applyAlignment="1">
      <alignment horizontal="center" vertical="center" wrapText="1"/>
    </xf>
    <xf numFmtId="0" fontId="3" fillId="21" borderId="10" xfId="0" applyFont="1" applyFill="1" applyBorder="1" applyAlignment="1">
      <alignment horizontal="center" vertical="center"/>
    </xf>
    <xf numFmtId="0" fontId="3" fillId="21" borderId="11" xfId="0" applyFont="1" applyFill="1" applyBorder="1" applyAlignment="1">
      <alignment horizontal="center" vertical="center"/>
    </xf>
    <xf numFmtId="0" fontId="3" fillId="22" borderId="0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3" fillId="32" borderId="13" xfId="0" applyFont="1" applyFill="1" applyBorder="1" applyAlignment="1">
      <alignment horizontal="center" vertical="center"/>
    </xf>
    <xf numFmtId="0" fontId="4" fillId="32" borderId="0" xfId="0" applyFont="1" applyFill="1" applyBorder="1" applyAlignment="1">
      <alignment horizontal="center" vertical="center"/>
    </xf>
    <xf numFmtId="0" fontId="4" fillId="32" borderId="12" xfId="0" applyFont="1" applyFill="1" applyBorder="1"/>
    <xf numFmtId="0" fontId="6" fillId="0" borderId="14" xfId="1" applyFont="1" applyBorder="1" applyAlignment="1">
      <alignment horizontal="center" vertical="center"/>
    </xf>
    <xf numFmtId="0" fontId="4" fillId="21" borderId="11" xfId="0" applyFont="1" applyFill="1" applyBorder="1" applyAlignment="1">
      <alignment horizontal="center" vertical="center"/>
    </xf>
    <xf numFmtId="0" fontId="4" fillId="22" borderId="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26" borderId="11" xfId="0" applyFont="1" applyFill="1" applyBorder="1"/>
    <xf numFmtId="0" fontId="4" fillId="26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23" borderId="0" xfId="0" applyFont="1" applyFill="1" applyBorder="1" applyAlignment="1">
      <alignment horizontal="center" vertical="center"/>
    </xf>
    <xf numFmtId="0" fontId="4" fillId="23" borderId="0" xfId="0" applyFont="1" applyFill="1" applyBorder="1" applyAlignment="1">
      <alignment horizontal="center" vertical="center"/>
    </xf>
    <xf numFmtId="0" fontId="3" fillId="33" borderId="7" xfId="0" applyFont="1" applyFill="1" applyBorder="1" applyAlignment="1">
      <alignment horizontal="center" vertical="center" wrapText="1"/>
    </xf>
    <xf numFmtId="0" fontId="3" fillId="33" borderId="8" xfId="0" applyFont="1" applyFill="1" applyBorder="1" applyAlignment="1">
      <alignment horizontal="center" vertical="center" wrapText="1"/>
    </xf>
    <xf numFmtId="0" fontId="3" fillId="33" borderId="9" xfId="0" applyFont="1" applyFill="1" applyBorder="1" applyAlignment="1">
      <alignment horizontal="center" vertical="center" wrapText="1"/>
    </xf>
    <xf numFmtId="0" fontId="3" fillId="12" borderId="10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3" fillId="13" borderId="0" xfId="0" applyFont="1" applyFill="1" applyBorder="1" applyAlignment="1">
      <alignment horizontal="center" vertical="center"/>
    </xf>
    <xf numFmtId="0" fontId="3" fillId="33" borderId="13" xfId="0" applyFont="1" applyFill="1" applyBorder="1" applyAlignment="1">
      <alignment horizontal="center" vertical="center"/>
    </xf>
    <xf numFmtId="0" fontId="4" fillId="33" borderId="0" xfId="0" applyFont="1" applyFill="1" applyBorder="1" applyAlignment="1">
      <alignment horizontal="center" vertical="center"/>
    </xf>
    <xf numFmtId="0" fontId="4" fillId="33" borderId="12" xfId="0" applyFont="1" applyFill="1" applyBorder="1"/>
    <xf numFmtId="0" fontId="4" fillId="12" borderId="11" xfId="0" applyFont="1" applyFill="1" applyBorder="1" applyAlignment="1">
      <alignment horizontal="center" vertical="center"/>
    </xf>
    <xf numFmtId="0" fontId="4" fillId="13" borderId="0" xfId="0" applyFont="1" applyFill="1" applyBorder="1" applyAlignment="1">
      <alignment horizontal="center" vertical="center"/>
    </xf>
    <xf numFmtId="0" fontId="3" fillId="20" borderId="0" xfId="0" applyFont="1" applyFill="1" applyBorder="1" applyAlignment="1">
      <alignment horizontal="center" vertical="center"/>
    </xf>
    <xf numFmtId="0" fontId="4" fillId="20" borderId="0" xfId="0" applyFont="1" applyFill="1" applyBorder="1" applyAlignment="1">
      <alignment horizontal="center" vertical="center"/>
    </xf>
    <xf numFmtId="0" fontId="3" fillId="34" borderId="7" xfId="0" applyFont="1" applyFill="1" applyBorder="1" applyAlignment="1">
      <alignment horizontal="center" vertical="center" wrapText="1"/>
    </xf>
    <xf numFmtId="0" fontId="3" fillId="34" borderId="8" xfId="0" applyFont="1" applyFill="1" applyBorder="1" applyAlignment="1">
      <alignment horizontal="center" vertical="center" wrapText="1"/>
    </xf>
    <xf numFmtId="0" fontId="3" fillId="34" borderId="9" xfId="0" applyFont="1" applyFill="1" applyBorder="1" applyAlignment="1">
      <alignment horizontal="center" vertical="center" wrapText="1"/>
    </xf>
    <xf numFmtId="0" fontId="3" fillId="19" borderId="10" xfId="0" applyFont="1" applyFill="1" applyBorder="1" applyAlignment="1">
      <alignment horizontal="center" vertical="center"/>
    </xf>
    <xf numFmtId="0" fontId="3" fillId="19" borderId="11" xfId="0" applyFont="1" applyFill="1" applyBorder="1" applyAlignment="1">
      <alignment horizontal="center" vertical="center"/>
    </xf>
    <xf numFmtId="0" fontId="3" fillId="17" borderId="0" xfId="0" applyFont="1" applyFill="1" applyBorder="1" applyAlignment="1">
      <alignment horizontal="center" vertical="center"/>
    </xf>
    <xf numFmtId="0" fontId="3" fillId="34" borderId="13" xfId="0" applyFont="1" applyFill="1" applyBorder="1" applyAlignment="1">
      <alignment horizontal="center" vertical="center"/>
    </xf>
    <xf numFmtId="0" fontId="4" fillId="34" borderId="0" xfId="0" applyFont="1" applyFill="1" applyBorder="1"/>
    <xf numFmtId="0" fontId="4" fillId="34" borderId="12" xfId="0" applyFont="1" applyFill="1" applyBorder="1"/>
    <xf numFmtId="0" fontId="4" fillId="0" borderId="11" xfId="0" applyFont="1" applyBorder="1"/>
    <xf numFmtId="0" fontId="4" fillId="0" borderId="12" xfId="0" applyFont="1" applyBorder="1"/>
    <xf numFmtId="0" fontId="4" fillId="19" borderId="11" xfId="0" applyFont="1" applyFill="1" applyBorder="1" applyAlignment="1">
      <alignment horizontal="center" vertical="center"/>
    </xf>
    <xf numFmtId="0" fontId="4" fillId="17" borderId="0" xfId="0" applyFont="1" applyFill="1" applyBorder="1" applyAlignment="1">
      <alignment horizontal="center" vertical="center"/>
    </xf>
    <xf numFmtId="0" fontId="4" fillId="26" borderId="11" xfId="0" applyFont="1" applyFill="1" applyBorder="1"/>
    <xf numFmtId="0" fontId="3" fillId="18" borderId="0" xfId="0" applyFont="1" applyFill="1" applyBorder="1" applyAlignment="1">
      <alignment horizontal="center" vertical="center"/>
    </xf>
    <xf numFmtId="0" fontId="4" fillId="18" borderId="0" xfId="0" applyFont="1" applyFill="1" applyBorder="1" applyAlignment="1">
      <alignment horizontal="center" vertical="center"/>
    </xf>
    <xf numFmtId="0" fontId="3" fillId="35" borderId="7" xfId="0" applyFont="1" applyFill="1" applyBorder="1" applyAlignment="1">
      <alignment horizontal="center" vertical="center" wrapText="1"/>
    </xf>
    <xf numFmtId="0" fontId="3" fillId="35" borderId="8" xfId="0" applyFont="1" applyFill="1" applyBorder="1" applyAlignment="1">
      <alignment horizontal="center" vertical="center" wrapText="1"/>
    </xf>
    <xf numFmtId="0" fontId="3" fillId="35" borderId="9" xfId="0" applyFont="1" applyFill="1" applyBorder="1" applyAlignment="1">
      <alignment horizontal="center" vertical="center" wrapText="1"/>
    </xf>
    <xf numFmtId="0" fontId="3" fillId="15" borderId="10" xfId="0" applyFont="1" applyFill="1" applyBorder="1" applyAlignment="1">
      <alignment horizontal="center" vertical="center"/>
    </xf>
    <xf numFmtId="0" fontId="3" fillId="15" borderId="11" xfId="0" applyFont="1" applyFill="1" applyBorder="1" applyAlignment="1">
      <alignment horizontal="center" vertical="center"/>
    </xf>
    <xf numFmtId="0" fontId="3" fillId="16" borderId="0" xfId="0" applyFont="1" applyFill="1" applyBorder="1" applyAlignment="1">
      <alignment horizontal="center" vertical="center"/>
    </xf>
    <xf numFmtId="0" fontId="3" fillId="35" borderId="13" xfId="0" applyFont="1" applyFill="1" applyBorder="1" applyAlignment="1">
      <alignment horizontal="center" vertical="center"/>
    </xf>
    <xf numFmtId="0" fontId="4" fillId="35" borderId="0" xfId="0" applyFont="1" applyFill="1" applyBorder="1"/>
    <xf numFmtId="0" fontId="4" fillId="35" borderId="12" xfId="0" applyFont="1" applyFill="1" applyBorder="1"/>
    <xf numFmtId="0" fontId="4" fillId="15" borderId="11" xfId="0" applyFont="1" applyFill="1" applyBorder="1" applyAlignment="1">
      <alignment horizontal="center" vertical="center"/>
    </xf>
    <xf numFmtId="0" fontId="4" fillId="16" borderId="0" xfId="0" applyFont="1" applyFill="1" applyBorder="1" applyAlignment="1">
      <alignment horizontal="center" vertical="center"/>
    </xf>
    <xf numFmtId="0" fontId="3" fillId="11" borderId="0" xfId="0" applyFont="1" applyFill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 wrapText="1"/>
    </xf>
    <xf numFmtId="0" fontId="4" fillId="36" borderId="8" xfId="0" applyFont="1" applyFill="1" applyBorder="1"/>
    <xf numFmtId="0" fontId="4" fillId="36" borderId="9" xfId="0" applyFont="1" applyFill="1" applyBorder="1"/>
    <xf numFmtId="0" fontId="3" fillId="3" borderId="1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0" xfId="0" applyFont="1" applyFill="1" applyBorder="1" applyAlignment="1">
      <alignment horizontal="center" vertical="center"/>
    </xf>
    <xf numFmtId="0" fontId="3" fillId="36" borderId="13" xfId="0" applyFont="1" applyFill="1" applyBorder="1" applyAlignment="1">
      <alignment horizontal="center"/>
    </xf>
    <xf numFmtId="0" fontId="4" fillId="36" borderId="0" xfId="0" applyFont="1" applyFill="1" applyBorder="1"/>
    <xf numFmtId="0" fontId="4" fillId="36" borderId="12" xfId="0" applyFont="1" applyFill="1" applyBorder="1"/>
    <xf numFmtId="0" fontId="4" fillId="3" borderId="11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center" vertical="center"/>
    </xf>
    <xf numFmtId="0" fontId="3" fillId="37" borderId="15" xfId="0" applyFont="1" applyFill="1" applyBorder="1" applyAlignment="1">
      <alignment horizontal="center" vertical="center" wrapText="1"/>
    </xf>
    <xf numFmtId="0" fontId="4" fillId="37" borderId="8" xfId="0" applyFont="1" applyFill="1" applyBorder="1"/>
    <xf numFmtId="0" fontId="4" fillId="37" borderId="9" xfId="0" applyFont="1" applyFill="1" applyBorder="1"/>
    <xf numFmtId="0" fontId="3" fillId="28" borderId="16" xfId="0" applyFont="1" applyFill="1" applyBorder="1" applyAlignment="1">
      <alignment horizontal="center" vertical="center"/>
    </xf>
    <xf numFmtId="0" fontId="3" fillId="28" borderId="11" xfId="0" applyFont="1" applyFill="1" applyBorder="1" applyAlignment="1">
      <alignment horizontal="center" vertical="center"/>
    </xf>
    <xf numFmtId="0" fontId="3" fillId="37" borderId="13" xfId="0" applyFont="1" applyFill="1" applyBorder="1" applyAlignment="1">
      <alignment horizontal="center"/>
    </xf>
    <xf numFmtId="0" fontId="4" fillId="37" borderId="12" xfId="0" applyFont="1" applyFill="1" applyBorder="1"/>
    <xf numFmtId="0" fontId="4" fillId="28" borderId="11" xfId="0" applyFont="1" applyFill="1" applyBorder="1" applyAlignment="1">
      <alignment horizontal="center" vertical="center"/>
    </xf>
    <xf numFmtId="0" fontId="3" fillId="25" borderId="6" xfId="0" applyFont="1" applyFill="1" applyBorder="1" applyAlignment="1">
      <alignment horizontal="center" vertical="center"/>
    </xf>
    <xf numFmtId="0" fontId="3" fillId="25" borderId="0" xfId="0" applyFont="1" applyFill="1" applyBorder="1" applyAlignment="1">
      <alignment horizontal="center" vertical="center"/>
    </xf>
    <xf numFmtId="0" fontId="4" fillId="25" borderId="0" xfId="0" applyFont="1" applyFill="1" applyBorder="1" applyAlignment="1">
      <alignment horizontal="center" vertical="center"/>
    </xf>
    <xf numFmtId="0" fontId="3" fillId="38" borderId="15" xfId="0" applyFont="1" applyFill="1" applyBorder="1" applyAlignment="1">
      <alignment horizontal="center" vertical="center" wrapText="1"/>
    </xf>
    <xf numFmtId="0" fontId="4" fillId="38" borderId="8" xfId="0" applyFont="1" applyFill="1" applyBorder="1"/>
    <xf numFmtId="0" fontId="4" fillId="38" borderId="9" xfId="0" applyFont="1" applyFill="1" applyBorder="1"/>
    <xf numFmtId="0" fontId="3" fillId="27" borderId="16" xfId="0" applyFont="1" applyFill="1" applyBorder="1" applyAlignment="1">
      <alignment horizontal="center" vertical="center"/>
    </xf>
    <xf numFmtId="0" fontId="3" fillId="27" borderId="11" xfId="0" applyFont="1" applyFill="1" applyBorder="1" applyAlignment="1">
      <alignment horizontal="center" vertical="center"/>
    </xf>
    <xf numFmtId="0" fontId="3" fillId="30" borderId="0" xfId="0" applyFont="1" applyFill="1" applyBorder="1" applyAlignment="1">
      <alignment horizontal="center" vertical="center"/>
    </xf>
    <xf numFmtId="0" fontId="3" fillId="38" borderId="18" xfId="0" applyFont="1" applyFill="1" applyBorder="1" applyAlignment="1">
      <alignment horizontal="center"/>
    </xf>
    <xf numFmtId="0" fontId="4" fillId="38" borderId="19" xfId="0" applyFont="1" applyFill="1" applyBorder="1"/>
    <xf numFmtId="0" fontId="4" fillId="27" borderId="11" xfId="0" applyFont="1" applyFill="1" applyBorder="1" applyAlignment="1">
      <alignment horizontal="center" vertical="center"/>
    </xf>
    <xf numFmtId="0" fontId="3" fillId="31" borderId="0" xfId="0" applyFont="1" applyFill="1" applyBorder="1" applyAlignment="1">
      <alignment horizontal="center" vertical="center"/>
    </xf>
    <xf numFmtId="0" fontId="3" fillId="42" borderId="15" xfId="0" applyFont="1" applyFill="1" applyBorder="1" applyAlignment="1">
      <alignment horizontal="center" vertical="center" wrapText="1"/>
    </xf>
    <xf numFmtId="0" fontId="4" fillId="42" borderId="8" xfId="0" applyFont="1" applyFill="1" applyBorder="1"/>
    <xf numFmtId="0" fontId="4" fillId="42" borderId="9" xfId="0" applyFont="1" applyFill="1" applyBorder="1"/>
    <xf numFmtId="0" fontId="3" fillId="40" borderId="16" xfId="0" applyFont="1" applyFill="1" applyBorder="1" applyAlignment="1">
      <alignment horizontal="center" vertical="center"/>
    </xf>
    <xf numFmtId="0" fontId="3" fillId="41" borderId="17" xfId="0" applyFont="1" applyFill="1" applyBorder="1" applyAlignment="1">
      <alignment horizontal="center" vertical="center"/>
    </xf>
    <xf numFmtId="0" fontId="3" fillId="40" borderId="11" xfId="0" applyFont="1" applyFill="1" applyBorder="1" applyAlignment="1">
      <alignment horizontal="center" vertical="center"/>
    </xf>
    <xf numFmtId="0" fontId="3" fillId="41" borderId="12" xfId="0" applyFont="1" applyFill="1" applyBorder="1" applyAlignment="1">
      <alignment horizontal="center" vertical="center"/>
    </xf>
    <xf numFmtId="0" fontId="3" fillId="42" borderId="18" xfId="0" applyFont="1" applyFill="1" applyBorder="1" applyAlignment="1">
      <alignment horizontal="center"/>
    </xf>
    <xf numFmtId="0" fontId="4" fillId="42" borderId="19" xfId="0" applyFont="1" applyFill="1" applyBorder="1"/>
    <xf numFmtId="0" fontId="1" fillId="26" borderId="11" xfId="0" applyFont="1" applyFill="1" applyBorder="1"/>
    <xf numFmtId="0" fontId="0" fillId="26" borderId="12" xfId="0" applyFill="1" applyBorder="1"/>
    <xf numFmtId="0" fontId="0" fillId="26" borderId="11" xfId="0" applyFill="1" applyBorder="1"/>
    <xf numFmtId="0" fontId="1" fillId="8" borderId="0" xfId="0" applyFont="1" applyFill="1" applyAlignment="1">
      <alignment horizontal="center" vertical="center" textRotation="90"/>
    </xf>
    <xf numFmtId="0" fontId="1" fillId="43" borderId="0" xfId="0" applyFont="1" applyFill="1" applyAlignment="1">
      <alignment horizontal="center" vertical="center" textRotation="90"/>
    </xf>
    <xf numFmtId="0" fontId="3" fillId="44" borderId="15" xfId="0" applyFont="1" applyFill="1" applyBorder="1" applyAlignment="1">
      <alignment horizontal="center" vertical="center" wrapText="1"/>
    </xf>
    <xf numFmtId="0" fontId="4" fillId="44" borderId="8" xfId="0" applyFont="1" applyFill="1" applyBorder="1"/>
    <xf numFmtId="0" fontId="4" fillId="44" borderId="9" xfId="0" applyFont="1" applyFill="1" applyBorder="1"/>
    <xf numFmtId="0" fontId="3" fillId="45" borderId="16" xfId="0" applyFont="1" applyFill="1" applyBorder="1" applyAlignment="1">
      <alignment horizontal="center" vertical="center"/>
    </xf>
    <xf numFmtId="0" fontId="3" fillId="45" borderId="11" xfId="0" applyFont="1" applyFill="1" applyBorder="1" applyAlignment="1">
      <alignment horizontal="center" vertical="center"/>
    </xf>
    <xf numFmtId="0" fontId="3" fillId="46" borderId="6" xfId="0" applyFont="1" applyFill="1" applyBorder="1" applyAlignment="1">
      <alignment horizontal="center" vertical="center"/>
    </xf>
    <xf numFmtId="0" fontId="3" fillId="46" borderId="0" xfId="0" applyFont="1" applyFill="1" applyBorder="1" applyAlignment="1">
      <alignment horizontal="center" vertical="center"/>
    </xf>
    <xf numFmtId="0" fontId="3" fillId="47" borderId="17" xfId="0" applyFont="1" applyFill="1" applyBorder="1" applyAlignment="1">
      <alignment horizontal="center" vertical="center"/>
    </xf>
    <xf numFmtId="0" fontId="3" fillId="47" borderId="12" xfId="0" applyFont="1" applyFill="1" applyBorder="1" applyAlignment="1">
      <alignment horizontal="center" vertical="center"/>
    </xf>
    <xf numFmtId="0" fontId="3" fillId="44" borderId="18" xfId="0" applyFont="1" applyFill="1" applyBorder="1" applyAlignment="1">
      <alignment horizontal="center"/>
    </xf>
    <xf numFmtId="0" fontId="4" fillId="44" borderId="3" xfId="0" applyFont="1" applyFill="1" applyBorder="1"/>
    <xf numFmtId="0" fontId="4" fillId="44" borderId="19" xfId="0" applyFont="1" applyFill="1" applyBorder="1"/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BA9B"/>
      <color rgb="FFBF9FFF"/>
      <color rgb="FFFFC697"/>
      <color rgb="FF538CFF"/>
      <color rgb="FF5EAAFE"/>
      <color rgb="FFA1E9D3"/>
      <color rgb="FFFFEDAB"/>
      <color rgb="FFECCDFF"/>
      <color rgb="FF81CFFF"/>
      <color rgb="FF81E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24"/>
  <sheetViews>
    <sheetView tabSelected="1" zoomScaleNormal="100" workbookViewId="0">
      <pane xSplit="2" ySplit="8" topLeftCell="C83" activePane="bottomRight" state="frozen"/>
      <selection pane="topRight" activeCell="C1" sqref="C1"/>
      <selection pane="bottomLeft" activeCell="A9" sqref="A9"/>
      <selection pane="bottomRight" activeCell="AB101" sqref="AB101:AD101"/>
    </sheetView>
  </sheetViews>
  <sheetFormatPr defaultRowHeight="15" x14ac:dyDescent="0.25"/>
  <cols>
    <col min="1" max="1" width="4.7109375" customWidth="1"/>
    <col min="2" max="2" width="23.85546875" bestFit="1" customWidth="1"/>
    <col min="3" max="3" width="7.28515625" style="11" customWidth="1"/>
    <col min="4" max="4" width="6.5703125" style="1" bestFit="1" customWidth="1"/>
    <col min="5" max="5" width="25.5703125" customWidth="1"/>
    <col min="6" max="6" width="23.85546875" bestFit="1" customWidth="1"/>
    <col min="7" max="7" width="6" style="80" customWidth="1"/>
    <col min="8" max="9" width="6" style="63" customWidth="1"/>
    <col min="10" max="10" width="6" style="80" customWidth="1"/>
    <col min="11" max="12" width="6" style="63" customWidth="1"/>
    <col min="13" max="13" width="6" style="109" customWidth="1"/>
    <col min="14" max="15" width="6" style="53" customWidth="1"/>
    <col min="16" max="16" width="6" style="109" customWidth="1"/>
    <col min="17" max="18" width="6" style="53" customWidth="1"/>
    <col min="19" max="19" width="6" style="109" customWidth="1"/>
    <col min="20" max="21" width="6" style="53" customWidth="1"/>
    <col min="22" max="22" width="6" style="109" customWidth="1"/>
    <col min="23" max="24" width="6" style="53" customWidth="1"/>
    <col min="25" max="25" width="6" style="109" customWidth="1"/>
    <col min="26" max="27" width="6" style="53" customWidth="1"/>
    <col min="28" max="28" width="6.140625" style="83" customWidth="1"/>
    <col min="29" max="29" width="6.140625" style="51" customWidth="1"/>
    <col min="30" max="30" width="6.140625" style="84" customWidth="1"/>
    <col min="31" max="33" width="6.140625" customWidth="1"/>
  </cols>
  <sheetData>
    <row r="1" spans="1:33" ht="41.25" customHeight="1" x14ac:dyDescent="0.25">
      <c r="G1" s="65" t="s">
        <v>778</v>
      </c>
      <c r="H1" s="66"/>
      <c r="I1" s="67"/>
      <c r="J1" s="87" t="s">
        <v>777</v>
      </c>
      <c r="K1" s="88"/>
      <c r="L1" s="89"/>
      <c r="M1" s="100" t="s">
        <v>776</v>
      </c>
      <c r="N1" s="101"/>
      <c r="O1" s="102"/>
      <c r="P1" s="116" t="s">
        <v>775</v>
      </c>
      <c r="Q1" s="117"/>
      <c r="R1" s="118"/>
      <c r="S1" s="128" t="s">
        <v>772</v>
      </c>
      <c r="T1" s="129"/>
      <c r="U1" s="130"/>
      <c r="V1" s="140" t="s">
        <v>773</v>
      </c>
      <c r="W1" s="141"/>
      <c r="X1" s="142"/>
      <c r="Y1" s="151" t="s">
        <v>774</v>
      </c>
      <c r="Z1" s="152"/>
      <c r="AA1" s="153"/>
      <c r="AB1" s="161" t="s">
        <v>779</v>
      </c>
      <c r="AC1" s="162"/>
      <c r="AD1" s="163"/>
      <c r="AE1" s="175" t="s">
        <v>792</v>
      </c>
      <c r="AF1" s="176"/>
      <c r="AG1" s="177"/>
    </row>
    <row r="2" spans="1:33" ht="16.5" customHeight="1" thickBot="1" x14ac:dyDescent="0.3">
      <c r="G2" s="68" t="s">
        <v>1</v>
      </c>
      <c r="H2" s="19" t="s">
        <v>2</v>
      </c>
      <c r="I2" s="20" t="s">
        <v>765</v>
      </c>
      <c r="J2" s="90" t="s">
        <v>3</v>
      </c>
      <c r="K2" s="21" t="s">
        <v>4</v>
      </c>
      <c r="L2" s="22" t="s">
        <v>766</v>
      </c>
      <c r="M2" s="103" t="s">
        <v>5</v>
      </c>
      <c r="N2" s="23" t="s">
        <v>6</v>
      </c>
      <c r="O2" s="24" t="s">
        <v>767</v>
      </c>
      <c r="P2" s="119" t="s">
        <v>7</v>
      </c>
      <c r="Q2" s="25" t="s">
        <v>8</v>
      </c>
      <c r="R2" s="26" t="s">
        <v>768</v>
      </c>
      <c r="S2" s="131" t="s">
        <v>9</v>
      </c>
      <c r="T2" s="27" t="s">
        <v>10</v>
      </c>
      <c r="U2" s="28" t="s">
        <v>769</v>
      </c>
      <c r="V2" s="143" t="s">
        <v>11</v>
      </c>
      <c r="W2" s="29" t="s">
        <v>12</v>
      </c>
      <c r="X2" s="148" t="s">
        <v>770</v>
      </c>
      <c r="Y2" s="154" t="s">
        <v>13</v>
      </c>
      <c r="Z2" s="30" t="s">
        <v>14</v>
      </c>
      <c r="AA2" s="32" t="s">
        <v>771</v>
      </c>
      <c r="AB2" s="164" t="s">
        <v>780</v>
      </c>
      <c r="AC2" s="31" t="s">
        <v>781</v>
      </c>
      <c r="AD2" s="165" t="s">
        <v>782</v>
      </c>
      <c r="AE2" s="178" t="s">
        <v>793</v>
      </c>
      <c r="AF2" s="180" t="s">
        <v>794</v>
      </c>
      <c r="AG2" s="182" t="s">
        <v>795</v>
      </c>
    </row>
    <row r="3" spans="1:33" ht="16.5" hidden="1" customHeight="1" x14ac:dyDescent="0.25">
      <c r="B3" s="33" t="s">
        <v>15</v>
      </c>
      <c r="C3" s="12"/>
      <c r="D3" s="48" t="s">
        <v>16</v>
      </c>
      <c r="E3" s="34"/>
      <c r="F3" s="37"/>
      <c r="G3" s="69">
        <f t="shared" ref="G3:AD3" si="0">COUNTIF(G11:G54,"✅")</f>
        <v>4</v>
      </c>
      <c r="H3" s="70">
        <f t="shared" si="0"/>
        <v>4</v>
      </c>
      <c r="I3" s="85">
        <f t="shared" si="0"/>
        <v>0</v>
      </c>
      <c r="J3" s="91">
        <f t="shared" si="0"/>
        <v>6</v>
      </c>
      <c r="K3" s="92">
        <f t="shared" si="0"/>
        <v>4</v>
      </c>
      <c r="L3" s="98">
        <f t="shared" si="0"/>
        <v>3</v>
      </c>
      <c r="M3" s="104">
        <f t="shared" si="0"/>
        <v>5</v>
      </c>
      <c r="N3" s="105">
        <f t="shared" si="0"/>
        <v>5</v>
      </c>
      <c r="O3" s="114">
        <f t="shared" si="0"/>
        <v>3</v>
      </c>
      <c r="P3" s="120">
        <f t="shared" si="0"/>
        <v>7</v>
      </c>
      <c r="Q3" s="121">
        <f t="shared" si="0"/>
        <v>1</v>
      </c>
      <c r="R3" s="127">
        <f t="shared" si="0"/>
        <v>0</v>
      </c>
      <c r="S3" s="72">
        <f t="shared" si="0"/>
        <v>0</v>
      </c>
      <c r="T3" s="49">
        <f t="shared" si="0"/>
        <v>0</v>
      </c>
      <c r="U3" s="49">
        <f t="shared" si="0"/>
        <v>0</v>
      </c>
      <c r="V3" s="72">
        <f t="shared" si="0"/>
        <v>0</v>
      </c>
      <c r="W3" s="49">
        <f t="shared" si="0"/>
        <v>0</v>
      </c>
      <c r="X3" s="49">
        <f t="shared" si="0"/>
        <v>0</v>
      </c>
      <c r="Y3" s="72">
        <f t="shared" si="0"/>
        <v>0</v>
      </c>
      <c r="Z3" s="49">
        <f t="shared" si="0"/>
        <v>0</v>
      </c>
      <c r="AA3" s="49">
        <f t="shared" si="0"/>
        <v>0</v>
      </c>
      <c r="AB3" s="72">
        <f t="shared" si="0"/>
        <v>0</v>
      </c>
      <c r="AC3" s="49">
        <f t="shared" si="0"/>
        <v>0</v>
      </c>
      <c r="AD3" s="73">
        <f t="shared" si="0"/>
        <v>0</v>
      </c>
      <c r="AE3" s="72">
        <f t="shared" ref="AE3:AG3" si="1">COUNTIF(AE11:AE54,"✅")</f>
        <v>0</v>
      </c>
      <c r="AF3" s="49">
        <f t="shared" si="1"/>
        <v>0</v>
      </c>
      <c r="AG3" s="73">
        <f t="shared" si="1"/>
        <v>0</v>
      </c>
    </row>
    <row r="4" spans="1:33" ht="16.5" hidden="1" customHeight="1" x14ac:dyDescent="0.25">
      <c r="B4" s="34"/>
      <c r="C4" s="13"/>
      <c r="D4" s="48" t="s">
        <v>17</v>
      </c>
      <c r="E4" s="34"/>
      <c r="F4" s="37"/>
      <c r="G4" s="69">
        <f t="shared" ref="G4:AD4" si="2">COUNTIF(G11:G54,"✅")+COUNTIF(G11:G54,"✔️")</f>
        <v>4</v>
      </c>
      <c r="H4" s="70">
        <f t="shared" si="2"/>
        <v>8</v>
      </c>
      <c r="I4" s="85">
        <f t="shared" si="2"/>
        <v>4</v>
      </c>
      <c r="J4" s="91">
        <f t="shared" si="2"/>
        <v>8</v>
      </c>
      <c r="K4" s="92">
        <f t="shared" si="2"/>
        <v>10</v>
      </c>
      <c r="L4" s="98">
        <f t="shared" si="2"/>
        <v>7</v>
      </c>
      <c r="M4" s="104">
        <f t="shared" si="2"/>
        <v>13</v>
      </c>
      <c r="N4" s="105">
        <f t="shared" si="2"/>
        <v>11</v>
      </c>
      <c r="O4" s="114">
        <f t="shared" si="2"/>
        <v>10</v>
      </c>
      <c r="P4" s="120">
        <f t="shared" si="2"/>
        <v>20</v>
      </c>
      <c r="Q4" s="121">
        <f t="shared" si="2"/>
        <v>16</v>
      </c>
      <c r="R4" s="127">
        <f t="shared" si="2"/>
        <v>7</v>
      </c>
      <c r="S4" s="132">
        <f t="shared" si="2"/>
        <v>17</v>
      </c>
      <c r="T4" s="133">
        <f t="shared" si="2"/>
        <v>16</v>
      </c>
      <c r="U4" s="139">
        <f t="shared" si="2"/>
        <v>9</v>
      </c>
      <c r="V4" s="144">
        <f t="shared" si="2"/>
        <v>17</v>
      </c>
      <c r="W4" s="56">
        <f t="shared" si="2"/>
        <v>13</v>
      </c>
      <c r="X4" s="149">
        <f t="shared" si="2"/>
        <v>5</v>
      </c>
      <c r="Y4" s="155">
        <f t="shared" si="2"/>
        <v>0</v>
      </c>
      <c r="Z4" s="156">
        <f t="shared" si="2"/>
        <v>0</v>
      </c>
      <c r="AA4" s="160">
        <f t="shared" si="2"/>
        <v>0</v>
      </c>
      <c r="AB4" s="166">
        <f t="shared" si="2"/>
        <v>0</v>
      </c>
      <c r="AC4" s="50">
        <f t="shared" si="2"/>
        <v>0</v>
      </c>
      <c r="AD4" s="167">
        <f t="shared" si="2"/>
        <v>0</v>
      </c>
      <c r="AE4" s="166">
        <f t="shared" ref="AE4:AG4" si="3">COUNTIF(AE11:AE54,"✅")+COUNTIF(AE11:AE54,"✔️")</f>
        <v>0</v>
      </c>
      <c r="AF4" s="50">
        <f t="shared" si="3"/>
        <v>0</v>
      </c>
      <c r="AG4" s="167">
        <f t="shared" si="3"/>
        <v>0</v>
      </c>
    </row>
    <row r="5" spans="1:33" ht="4.5" hidden="1" customHeight="1" x14ac:dyDescent="0.25">
      <c r="B5" s="4"/>
      <c r="C5" s="5"/>
      <c r="D5" s="5"/>
      <c r="E5" s="3"/>
      <c r="F5" s="3"/>
      <c r="G5" s="71"/>
      <c r="H5" s="57"/>
      <c r="I5" s="57"/>
      <c r="J5" s="71"/>
      <c r="K5" s="57"/>
      <c r="L5" s="57"/>
      <c r="M5" s="71"/>
      <c r="N5" s="57"/>
      <c r="O5" s="57"/>
      <c r="P5" s="71"/>
      <c r="Q5" s="57"/>
      <c r="R5" s="57"/>
      <c r="S5" s="71"/>
      <c r="T5" s="57"/>
      <c r="U5" s="57"/>
      <c r="V5" s="71"/>
      <c r="W5" s="57"/>
      <c r="AE5" s="83"/>
      <c r="AF5" s="51"/>
      <c r="AG5" s="84"/>
    </row>
    <row r="6" spans="1:33" ht="16.5" customHeight="1" x14ac:dyDescent="0.25">
      <c r="B6" s="40" t="s">
        <v>18</v>
      </c>
      <c r="C6" s="14"/>
      <c r="D6" s="36" t="s">
        <v>16</v>
      </c>
      <c r="E6" s="34"/>
      <c r="F6" s="37"/>
      <c r="G6" s="72">
        <v>0</v>
      </c>
      <c r="H6" s="49">
        <v>0</v>
      </c>
      <c r="I6" s="49">
        <v>0</v>
      </c>
      <c r="J6" s="72">
        <v>0</v>
      </c>
      <c r="K6" s="49">
        <v>0</v>
      </c>
      <c r="L6" s="49">
        <v>0</v>
      </c>
      <c r="M6" s="72">
        <v>0</v>
      </c>
      <c r="N6" s="49">
        <v>0</v>
      </c>
      <c r="O6" s="49">
        <v>0</v>
      </c>
      <c r="P6" s="72">
        <v>0</v>
      </c>
      <c r="Q6" s="49">
        <v>0</v>
      </c>
      <c r="R6" s="49">
        <v>0</v>
      </c>
      <c r="S6" s="132">
        <f>COUNTIF(S55:S108,"✅")</f>
        <v>9</v>
      </c>
      <c r="T6" s="133">
        <f>COUNTIF(T55:T108,"✅")</f>
        <v>4</v>
      </c>
      <c r="U6" s="139">
        <f>COUNTIF(U55:U108,"✅")</f>
        <v>3</v>
      </c>
      <c r="V6" s="144">
        <f>COUNTIF(V55:V108,"✅")</f>
        <v>4</v>
      </c>
      <c r="W6" s="56">
        <f>COUNTIF(W55:W108,"✅")</f>
        <v>4</v>
      </c>
      <c r="X6" s="149">
        <f>COUNTIF(X55:X108,"✅")</f>
        <v>3</v>
      </c>
      <c r="Y6" s="155">
        <f>COUNTIF(Y55:Y108,"✅")</f>
        <v>7</v>
      </c>
      <c r="Z6" s="156">
        <f>COUNTIF(Z55:Z108,"✅")</f>
        <v>5</v>
      </c>
      <c r="AA6" s="160">
        <f>COUNTIF(AA55:AA108,"✅")</f>
        <v>3</v>
      </c>
      <c r="AB6" s="166">
        <f>COUNTIF(AB55:AB108,"✅")</f>
        <v>6</v>
      </c>
      <c r="AC6" s="50">
        <f>COUNTIF(AC55:AC108,"✅")</f>
        <v>4</v>
      </c>
      <c r="AD6" s="167">
        <f>COUNTIF(AD55:AD108,"✅")</f>
        <v>0</v>
      </c>
      <c r="AE6" s="179">
        <f>COUNTIF(AE55:AE108,"✅")</f>
        <v>0</v>
      </c>
      <c r="AF6" s="181">
        <f>COUNTIF(AF55:AF108,"✅")</f>
        <v>0</v>
      </c>
      <c r="AG6" s="183">
        <f>COUNTIF(AG55:AG108,"✅")</f>
        <v>0</v>
      </c>
    </row>
    <row r="7" spans="1:33" ht="16.5" customHeight="1" x14ac:dyDescent="0.25">
      <c r="B7" s="34"/>
      <c r="C7" s="15"/>
      <c r="D7" s="36" t="s">
        <v>17</v>
      </c>
      <c r="E7" s="34"/>
      <c r="F7" s="37"/>
      <c r="G7" s="72">
        <v>0</v>
      </c>
      <c r="H7" s="49">
        <v>0</v>
      </c>
      <c r="I7" s="49">
        <v>0</v>
      </c>
      <c r="J7" s="72">
        <v>0</v>
      </c>
      <c r="K7" s="49">
        <v>0</v>
      </c>
      <c r="L7" s="49">
        <v>0</v>
      </c>
      <c r="M7" s="72">
        <v>0</v>
      </c>
      <c r="N7" s="49">
        <v>0</v>
      </c>
      <c r="O7" s="49">
        <v>0</v>
      </c>
      <c r="P7" s="72">
        <v>0</v>
      </c>
      <c r="Q7" s="49">
        <v>0</v>
      </c>
      <c r="R7" s="49">
        <v>0</v>
      </c>
      <c r="S7" s="132">
        <f>COUNTIF(S55:S108,"✅")+COUNTIF(S55:S108,"✔️")</f>
        <v>9</v>
      </c>
      <c r="T7" s="133">
        <f>COUNTIF(T55:T108,"✅")+COUNTIF(T55:T108,"✔️")</f>
        <v>6</v>
      </c>
      <c r="U7" s="139">
        <f>COUNTIF(U55:U108,"✅")+COUNTIF(U55:U108,"✔️")</f>
        <v>6</v>
      </c>
      <c r="V7" s="144">
        <f>COUNTIF(V55:V108,"✅")+COUNTIF(V55:V108,"✔️")</f>
        <v>14</v>
      </c>
      <c r="W7" s="56">
        <f>COUNTIF(W55:W108,"✅")+COUNTIF(W55:W108,"✔️")</f>
        <v>8</v>
      </c>
      <c r="X7" s="149">
        <f>COUNTIF(X55:X108,"✅")+COUNTIF(X55:X108,"✔️")</f>
        <v>7</v>
      </c>
      <c r="Y7" s="155">
        <f>COUNTIF(Y55:Y108,"✅")+COUNTIF(Y55:Y108,"✔️")</f>
        <v>16</v>
      </c>
      <c r="Z7" s="156">
        <f>COUNTIF(Z55:Z108,"✅")+COUNTIF(Z55:Z108,"✔️")</f>
        <v>17</v>
      </c>
      <c r="AA7" s="160">
        <f>COUNTIF(AA55:AA108,"✅")+COUNTIF(AA55:AA108,"✔️")</f>
        <v>17</v>
      </c>
      <c r="AB7" s="166">
        <f>COUNTIF(AB55:AB108,"✅")+COUNTIF(AB55:AB108,"✔️")</f>
        <v>20</v>
      </c>
      <c r="AC7" s="50">
        <f>COUNTIF(AC55:AC108,"✅")+COUNTIF(AC55:AC108,"✔️")</f>
        <v>20</v>
      </c>
      <c r="AD7" s="167">
        <f>COUNTIF(AD55:AD108,"✅")+COUNTIF(AD55:AD108,"✔️")</f>
        <v>15</v>
      </c>
      <c r="AE7" s="179">
        <f>COUNTIF(AE55:AE108,"✅")+COUNTIF(AE55:AE108,"✔️")</f>
        <v>0</v>
      </c>
      <c r="AF7" s="181">
        <f>COUNTIF(AF55:AF108,"✅")+COUNTIF(AF55:AF108,"✔️")</f>
        <v>0</v>
      </c>
      <c r="AG7" s="183">
        <f>COUNTIF(AG55:AG108,"✅")+COUNTIF(AG55:AG108,"✔️")</f>
        <v>0</v>
      </c>
    </row>
    <row r="8" spans="1:33" x14ac:dyDescent="0.25">
      <c r="D8" s="39" t="s">
        <v>19</v>
      </c>
      <c r="E8" s="34"/>
      <c r="F8" s="37"/>
      <c r="G8" s="74">
        <f>SUM(G3:I3)</f>
        <v>8</v>
      </c>
      <c r="H8" s="75"/>
      <c r="I8" s="76"/>
      <c r="J8" s="93">
        <f>SUM(J3:L3)</f>
        <v>13</v>
      </c>
      <c r="K8" s="94"/>
      <c r="L8" s="95"/>
      <c r="M8" s="106">
        <f>SUM(M3:O3)</f>
        <v>13</v>
      </c>
      <c r="N8" s="107"/>
      <c r="O8" s="108"/>
      <c r="P8" s="122">
        <f>SUM(P3:R3)</f>
        <v>8</v>
      </c>
      <c r="Q8" s="123"/>
      <c r="R8" s="124"/>
      <c r="S8" s="134">
        <f>SUM(S6:U6)</f>
        <v>16</v>
      </c>
      <c r="T8" s="135"/>
      <c r="U8" s="136"/>
      <c r="V8" s="145">
        <f>SUM(V6:X6)</f>
        <v>11</v>
      </c>
      <c r="W8" s="58"/>
      <c r="X8" s="146"/>
      <c r="Y8" s="157">
        <f>SUM(Y6:AA6)</f>
        <v>15</v>
      </c>
      <c r="Z8" s="38"/>
      <c r="AA8" s="158"/>
      <c r="AB8" s="168">
        <f>SUM(AB6:AD6)</f>
        <v>10</v>
      </c>
      <c r="AC8" s="47"/>
      <c r="AD8" s="169"/>
      <c r="AE8" s="184">
        <f>SUM(AE6:AG6)</f>
        <v>0</v>
      </c>
      <c r="AF8" s="185"/>
      <c r="AG8" s="186"/>
    </row>
    <row r="9" spans="1:33" ht="16.5" customHeight="1" x14ac:dyDescent="0.25">
      <c r="D9" s="44" t="s">
        <v>20</v>
      </c>
      <c r="E9" s="34"/>
      <c r="F9" s="34"/>
      <c r="G9" s="42">
        <f>SUM(G8:R8)</f>
        <v>42</v>
      </c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6">
        <f>SUM(S8:AD8)</f>
        <v>52</v>
      </c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</row>
    <row r="10" spans="1:33" ht="16.5" customHeight="1" x14ac:dyDescent="0.25">
      <c r="D10" s="44" t="s">
        <v>21</v>
      </c>
      <c r="E10" s="34"/>
      <c r="F10" s="34"/>
      <c r="G10" s="45">
        <f>SUM(G8:AD8)</f>
        <v>94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</row>
    <row r="11" spans="1:33" ht="15.75" customHeight="1" thickBot="1" x14ac:dyDescent="0.3">
      <c r="A11" s="6"/>
      <c r="B11" s="7" t="s">
        <v>22</v>
      </c>
      <c r="C11" s="16" t="s">
        <v>23</v>
      </c>
      <c r="D11" s="7" t="s">
        <v>24</v>
      </c>
      <c r="E11" s="7" t="s">
        <v>25</v>
      </c>
      <c r="F11" s="7" t="s">
        <v>26</v>
      </c>
      <c r="G11" s="77"/>
      <c r="H11" s="59"/>
      <c r="I11" s="59"/>
      <c r="J11" s="77"/>
      <c r="K11" s="59"/>
      <c r="L11" s="59"/>
      <c r="M11" s="77"/>
      <c r="N11" s="59"/>
      <c r="O11" s="59"/>
      <c r="P11" s="77"/>
      <c r="Q11" s="59"/>
      <c r="R11" s="59"/>
      <c r="S11" s="77"/>
      <c r="T11" s="59"/>
      <c r="U11" s="59"/>
      <c r="V11" s="77"/>
      <c r="W11" s="59"/>
      <c r="X11" s="59"/>
    </row>
    <row r="12" spans="1:33" ht="16.5" customHeight="1" x14ac:dyDescent="0.25">
      <c r="A12" s="35" t="s">
        <v>0</v>
      </c>
      <c r="B12" t="s">
        <v>27</v>
      </c>
      <c r="C12" s="11">
        <v>2</v>
      </c>
      <c r="D12" s="1">
        <f t="shared" ref="D12:D53" si="4">COUNTIF(G12:AAA12,"✅")+COUNTIF(G12:AAA12,"✔️")</f>
        <v>5</v>
      </c>
      <c r="E12" t="s">
        <v>28</v>
      </c>
      <c r="F12" t="s">
        <v>29</v>
      </c>
      <c r="G12" s="78" t="s">
        <v>30</v>
      </c>
      <c r="H12" s="79" t="s">
        <v>31</v>
      </c>
      <c r="J12" s="96" t="s">
        <v>31</v>
      </c>
      <c r="P12" s="125" t="s">
        <v>31</v>
      </c>
      <c r="W12" s="56" t="s">
        <v>31</v>
      </c>
    </row>
    <row r="13" spans="1:33" ht="16.5" customHeight="1" x14ac:dyDescent="0.25">
      <c r="A13" s="34"/>
      <c r="B13" t="s">
        <v>32</v>
      </c>
      <c r="C13" s="11">
        <v>2</v>
      </c>
      <c r="D13" s="1">
        <f t="shared" si="4"/>
        <v>5</v>
      </c>
      <c r="E13" t="s">
        <v>33</v>
      </c>
      <c r="F13" t="s">
        <v>34</v>
      </c>
      <c r="G13" s="78" t="s">
        <v>30</v>
      </c>
      <c r="H13" s="79" t="s">
        <v>31</v>
      </c>
      <c r="K13" s="97" t="s">
        <v>31</v>
      </c>
      <c r="P13" s="125" t="s">
        <v>31</v>
      </c>
      <c r="T13" s="133" t="s">
        <v>31</v>
      </c>
    </row>
    <row r="14" spans="1:33" ht="16.5" customHeight="1" x14ac:dyDescent="0.25">
      <c r="A14" s="34"/>
      <c r="B14" t="s">
        <v>35</v>
      </c>
      <c r="C14" s="11">
        <v>2</v>
      </c>
      <c r="D14" s="1">
        <f t="shared" si="4"/>
        <v>5</v>
      </c>
      <c r="E14" t="s">
        <v>36</v>
      </c>
      <c r="F14" t="s">
        <v>37</v>
      </c>
      <c r="G14" s="78" t="s">
        <v>30</v>
      </c>
      <c r="H14" s="79" t="s">
        <v>31</v>
      </c>
      <c r="J14" s="96" t="s">
        <v>31</v>
      </c>
      <c r="P14" s="125" t="s">
        <v>31</v>
      </c>
      <c r="W14" s="60" t="s">
        <v>31</v>
      </c>
    </row>
    <row r="15" spans="1:33" ht="16.5" customHeight="1" x14ac:dyDescent="0.25">
      <c r="A15" s="34"/>
      <c r="B15" t="s">
        <v>38</v>
      </c>
      <c r="C15" s="11">
        <v>4</v>
      </c>
      <c r="D15" s="1">
        <f t="shared" si="4"/>
        <v>6</v>
      </c>
      <c r="E15" t="s">
        <v>39</v>
      </c>
      <c r="F15" t="s">
        <v>40</v>
      </c>
      <c r="G15" s="78" t="s">
        <v>30</v>
      </c>
      <c r="H15" s="79" t="s">
        <v>31</v>
      </c>
      <c r="M15" s="111" t="s">
        <v>31</v>
      </c>
      <c r="S15" s="137" t="s">
        <v>31</v>
      </c>
      <c r="T15" s="133" t="s">
        <v>31</v>
      </c>
      <c r="V15" s="147" t="s">
        <v>31</v>
      </c>
    </row>
    <row r="16" spans="1:33" ht="16.5" customHeight="1" x14ac:dyDescent="0.25">
      <c r="A16" s="34"/>
      <c r="B16" t="s">
        <v>41</v>
      </c>
      <c r="C16" s="11">
        <v>4</v>
      </c>
      <c r="D16" s="1">
        <f t="shared" si="4"/>
        <v>5</v>
      </c>
      <c r="E16" t="s">
        <v>42</v>
      </c>
      <c r="F16" t="s">
        <v>43</v>
      </c>
      <c r="H16" s="79" t="s">
        <v>30</v>
      </c>
      <c r="I16" s="86" t="s">
        <v>31</v>
      </c>
      <c r="M16" s="111" t="s">
        <v>31</v>
      </c>
      <c r="P16" s="125" t="s">
        <v>31</v>
      </c>
      <c r="V16" s="147" t="s">
        <v>31</v>
      </c>
    </row>
    <row r="17" spans="1:24" ht="16.5" customHeight="1" x14ac:dyDescent="0.25">
      <c r="A17" s="34"/>
      <c r="B17" t="s">
        <v>44</v>
      </c>
      <c r="C17" s="11">
        <v>3</v>
      </c>
      <c r="D17" s="1">
        <f t="shared" si="4"/>
        <v>3</v>
      </c>
      <c r="E17" t="s">
        <v>45</v>
      </c>
      <c r="F17" t="s">
        <v>46</v>
      </c>
      <c r="H17" s="79" t="s">
        <v>30</v>
      </c>
      <c r="I17" s="86" t="s">
        <v>31</v>
      </c>
      <c r="N17" s="105" t="s">
        <v>31</v>
      </c>
    </row>
    <row r="18" spans="1:24" ht="16.5" customHeight="1" x14ac:dyDescent="0.25">
      <c r="A18" s="34"/>
      <c r="B18" t="s">
        <v>47</v>
      </c>
      <c r="C18" s="11">
        <v>2</v>
      </c>
      <c r="D18" s="1">
        <f t="shared" si="4"/>
        <v>7</v>
      </c>
      <c r="E18" t="s">
        <v>48</v>
      </c>
      <c r="F18" t="s">
        <v>49</v>
      </c>
      <c r="H18" s="79" t="s">
        <v>30</v>
      </c>
      <c r="I18" s="86" t="s">
        <v>31</v>
      </c>
      <c r="N18" s="105" t="s">
        <v>31</v>
      </c>
      <c r="Q18" s="121" t="s">
        <v>31</v>
      </c>
      <c r="R18" s="127" t="s">
        <v>31</v>
      </c>
      <c r="T18" s="133" t="s">
        <v>31</v>
      </c>
      <c r="U18" s="139" t="s">
        <v>31</v>
      </c>
    </row>
    <row r="19" spans="1:24" ht="16.5" customHeight="1" x14ac:dyDescent="0.25">
      <c r="A19" s="34"/>
      <c r="B19" t="s">
        <v>50</v>
      </c>
      <c r="C19" s="11">
        <v>2</v>
      </c>
      <c r="D19" s="1">
        <f t="shared" si="4"/>
        <v>7</v>
      </c>
      <c r="E19" t="s">
        <v>51</v>
      </c>
      <c r="F19" t="s">
        <v>52</v>
      </c>
      <c r="H19" s="79" t="s">
        <v>30</v>
      </c>
      <c r="I19" s="86" t="s">
        <v>31</v>
      </c>
      <c r="K19" s="97" t="s">
        <v>31</v>
      </c>
      <c r="Q19" s="121" t="s">
        <v>31</v>
      </c>
      <c r="R19" s="127" t="s">
        <v>31</v>
      </c>
      <c r="W19" s="56" t="s">
        <v>31</v>
      </c>
      <c r="X19" s="149" t="s">
        <v>31</v>
      </c>
    </row>
    <row r="20" spans="1:24" x14ac:dyDescent="0.25">
      <c r="A20" s="34"/>
      <c r="B20" t="s">
        <v>53</v>
      </c>
      <c r="C20" s="11">
        <v>2</v>
      </c>
      <c r="D20" s="1">
        <f t="shared" si="4"/>
        <v>4</v>
      </c>
      <c r="E20" t="s">
        <v>54</v>
      </c>
      <c r="F20" t="s">
        <v>55</v>
      </c>
      <c r="J20" s="96" t="s">
        <v>30</v>
      </c>
      <c r="M20" s="111" t="s">
        <v>31</v>
      </c>
      <c r="S20" s="137" t="s">
        <v>31</v>
      </c>
      <c r="V20" s="147" t="s">
        <v>31</v>
      </c>
    </row>
    <row r="21" spans="1:24" x14ac:dyDescent="0.25">
      <c r="A21" s="34"/>
      <c r="B21" t="s">
        <v>56</v>
      </c>
      <c r="C21" s="11">
        <v>2</v>
      </c>
      <c r="D21" s="1">
        <f t="shared" si="4"/>
        <v>4</v>
      </c>
      <c r="E21" t="s">
        <v>57</v>
      </c>
      <c r="F21" t="s">
        <v>58</v>
      </c>
      <c r="J21" s="96" t="s">
        <v>30</v>
      </c>
      <c r="M21" s="111" t="s">
        <v>31</v>
      </c>
      <c r="S21" s="137" t="s">
        <v>31</v>
      </c>
      <c r="V21" s="147" t="s">
        <v>31</v>
      </c>
    </row>
    <row r="22" spans="1:24" ht="16.5" customHeight="1" x14ac:dyDescent="0.25">
      <c r="A22" s="34"/>
      <c r="B22" t="s">
        <v>59</v>
      </c>
      <c r="C22" s="11">
        <v>4</v>
      </c>
      <c r="D22" s="1">
        <f t="shared" si="4"/>
        <v>6</v>
      </c>
      <c r="E22" t="s">
        <v>60</v>
      </c>
      <c r="F22" t="s">
        <v>61</v>
      </c>
      <c r="J22" s="96" t="s">
        <v>30</v>
      </c>
      <c r="K22" s="97" t="s">
        <v>31</v>
      </c>
      <c r="M22" s="80"/>
      <c r="N22" s="63"/>
      <c r="P22" s="125" t="s">
        <v>31</v>
      </c>
      <c r="Q22" s="121" t="s">
        <v>31</v>
      </c>
      <c r="S22" s="137" t="s">
        <v>31</v>
      </c>
      <c r="T22" s="133" t="s">
        <v>31</v>
      </c>
    </row>
    <row r="23" spans="1:24" ht="16.5" customHeight="1" x14ac:dyDescent="0.25">
      <c r="A23" s="34"/>
      <c r="B23" t="s">
        <v>62</v>
      </c>
      <c r="C23" s="11">
        <v>4</v>
      </c>
      <c r="D23" s="1">
        <f t="shared" si="4"/>
        <v>6</v>
      </c>
      <c r="E23" t="s">
        <v>63</v>
      </c>
      <c r="F23" t="s">
        <v>64</v>
      </c>
      <c r="J23" s="96" t="s">
        <v>30</v>
      </c>
      <c r="K23" s="97" t="s">
        <v>31</v>
      </c>
      <c r="M23" s="80"/>
      <c r="P23" s="125" t="s">
        <v>31</v>
      </c>
      <c r="Q23" s="121" t="s">
        <v>31</v>
      </c>
      <c r="V23" s="147" t="s">
        <v>31</v>
      </c>
      <c r="W23" s="56" t="s">
        <v>31</v>
      </c>
    </row>
    <row r="24" spans="1:24" ht="16.5" customHeight="1" x14ac:dyDescent="0.25">
      <c r="A24" s="34"/>
      <c r="B24" t="s">
        <v>65</v>
      </c>
      <c r="C24" s="11">
        <v>4</v>
      </c>
      <c r="D24" s="1">
        <f t="shared" si="4"/>
        <v>6</v>
      </c>
      <c r="E24" t="s">
        <v>66</v>
      </c>
      <c r="F24" t="s">
        <v>67</v>
      </c>
      <c r="J24" s="96" t="s">
        <v>30</v>
      </c>
      <c r="K24" s="97" t="s">
        <v>31</v>
      </c>
      <c r="M24" s="111" t="s">
        <v>31</v>
      </c>
      <c r="S24" s="137" t="s">
        <v>31</v>
      </c>
      <c r="V24" s="147" t="s">
        <v>31</v>
      </c>
      <c r="W24" s="56" t="s">
        <v>31</v>
      </c>
    </row>
    <row r="25" spans="1:24" ht="16.5" customHeight="1" x14ac:dyDescent="0.25">
      <c r="A25" s="34"/>
      <c r="B25" t="s">
        <v>68</v>
      </c>
      <c r="C25" s="11">
        <v>4</v>
      </c>
      <c r="D25" s="1">
        <f t="shared" si="4"/>
        <v>5</v>
      </c>
      <c r="E25" t="s">
        <v>69</v>
      </c>
      <c r="F25" t="s">
        <v>70</v>
      </c>
      <c r="J25" s="96" t="s">
        <v>30</v>
      </c>
      <c r="K25" s="97" t="s">
        <v>31</v>
      </c>
      <c r="M25" s="80"/>
      <c r="P25" s="125" t="s">
        <v>31</v>
      </c>
      <c r="S25" s="137" t="s">
        <v>31</v>
      </c>
      <c r="T25" s="133" t="s">
        <v>31</v>
      </c>
    </row>
    <row r="26" spans="1:24" ht="16.5" customHeight="1" x14ac:dyDescent="0.25">
      <c r="A26" s="34"/>
      <c r="B26" t="s">
        <v>71</v>
      </c>
      <c r="C26" s="11">
        <v>4</v>
      </c>
      <c r="D26" s="1">
        <f t="shared" si="4"/>
        <v>7</v>
      </c>
      <c r="E26" t="s">
        <v>72</v>
      </c>
      <c r="F26" t="s">
        <v>73</v>
      </c>
      <c r="K26" s="97" t="s">
        <v>30</v>
      </c>
      <c r="L26" s="99" t="s">
        <v>31</v>
      </c>
      <c r="M26" s="111" t="s">
        <v>31</v>
      </c>
      <c r="P26" s="125" t="s">
        <v>31</v>
      </c>
      <c r="T26" s="133" t="s">
        <v>31</v>
      </c>
      <c r="U26" s="139" t="s">
        <v>31</v>
      </c>
      <c r="V26" s="147" t="s">
        <v>31</v>
      </c>
    </row>
    <row r="27" spans="1:24" ht="16.5" customHeight="1" x14ac:dyDescent="0.25">
      <c r="A27" s="34"/>
      <c r="B27" t="s">
        <v>74</v>
      </c>
      <c r="C27" s="11">
        <v>4</v>
      </c>
      <c r="D27" s="1">
        <f t="shared" si="4"/>
        <v>4</v>
      </c>
      <c r="E27" t="s">
        <v>75</v>
      </c>
      <c r="F27" t="s">
        <v>76</v>
      </c>
      <c r="K27" s="97" t="s">
        <v>30</v>
      </c>
      <c r="L27" s="99" t="s">
        <v>31</v>
      </c>
      <c r="Q27" s="121" t="s">
        <v>31</v>
      </c>
      <c r="S27" s="137" t="s">
        <v>31</v>
      </c>
    </row>
    <row r="28" spans="1:24" ht="16.5" customHeight="1" x14ac:dyDescent="0.25">
      <c r="A28" s="34"/>
      <c r="B28" t="s">
        <v>77</v>
      </c>
      <c r="C28" s="11">
        <v>4</v>
      </c>
      <c r="D28" s="1">
        <f t="shared" si="4"/>
        <v>6</v>
      </c>
      <c r="E28" t="s">
        <v>78</v>
      </c>
      <c r="F28" t="s">
        <v>79</v>
      </c>
      <c r="K28" s="97" t="s">
        <v>30</v>
      </c>
      <c r="L28" s="99" t="s">
        <v>31</v>
      </c>
      <c r="M28" s="111" t="s">
        <v>31</v>
      </c>
      <c r="P28" s="125" t="s">
        <v>31</v>
      </c>
      <c r="W28" s="56" t="s">
        <v>31</v>
      </c>
      <c r="X28" s="149" t="s">
        <v>31</v>
      </c>
    </row>
    <row r="29" spans="1:24" ht="16.5" customHeight="1" x14ac:dyDescent="0.25">
      <c r="A29" s="34"/>
      <c r="B29" t="s">
        <v>80</v>
      </c>
      <c r="C29" s="11">
        <v>4</v>
      </c>
      <c r="D29" s="1">
        <f t="shared" si="4"/>
        <v>6</v>
      </c>
      <c r="E29" t="s">
        <v>81</v>
      </c>
      <c r="F29" t="s">
        <v>82</v>
      </c>
      <c r="K29" s="97" t="s">
        <v>30</v>
      </c>
      <c r="L29" s="99" t="s">
        <v>31</v>
      </c>
      <c r="M29" s="111" t="s">
        <v>31</v>
      </c>
      <c r="P29" s="125" t="s">
        <v>31</v>
      </c>
      <c r="W29" s="56" t="s">
        <v>31</v>
      </c>
      <c r="X29" s="149" t="s">
        <v>31</v>
      </c>
    </row>
    <row r="30" spans="1:24" ht="16.5" customHeight="1" x14ac:dyDescent="0.25">
      <c r="A30" s="34"/>
      <c r="B30" t="s">
        <v>83</v>
      </c>
      <c r="C30" s="11">
        <v>6</v>
      </c>
      <c r="D30" s="1">
        <f t="shared" si="4"/>
        <v>3</v>
      </c>
      <c r="E30" t="s">
        <v>84</v>
      </c>
      <c r="F30" t="s">
        <v>85</v>
      </c>
      <c r="L30" s="99" t="s">
        <v>30</v>
      </c>
      <c r="R30" s="127" t="s">
        <v>31</v>
      </c>
      <c r="X30" s="149" t="s">
        <v>31</v>
      </c>
    </row>
    <row r="31" spans="1:24" ht="16.5" customHeight="1" x14ac:dyDescent="0.25">
      <c r="A31" s="34"/>
      <c r="B31" t="s">
        <v>86</v>
      </c>
      <c r="C31" s="11">
        <v>6</v>
      </c>
      <c r="D31" s="1">
        <f t="shared" si="4"/>
        <v>6</v>
      </c>
      <c r="E31" t="s">
        <v>87</v>
      </c>
      <c r="F31" t="s">
        <v>88</v>
      </c>
      <c r="L31" s="99" t="s">
        <v>30</v>
      </c>
      <c r="N31" s="105" t="s">
        <v>31</v>
      </c>
      <c r="O31" s="114" t="s">
        <v>31</v>
      </c>
      <c r="T31" s="133" t="s">
        <v>31</v>
      </c>
      <c r="U31" s="139" t="s">
        <v>31</v>
      </c>
      <c r="V31" s="147" t="s">
        <v>31</v>
      </c>
    </row>
    <row r="32" spans="1:24" ht="16.5" customHeight="1" x14ac:dyDescent="0.25">
      <c r="A32" s="34"/>
      <c r="B32" t="s">
        <v>89</v>
      </c>
      <c r="C32" s="11">
        <v>4</v>
      </c>
      <c r="D32" s="1">
        <f t="shared" si="4"/>
        <v>3</v>
      </c>
      <c r="E32" t="s">
        <v>90</v>
      </c>
      <c r="F32" t="s">
        <v>91</v>
      </c>
      <c r="L32" s="99" t="s">
        <v>30</v>
      </c>
      <c r="R32" s="127" t="s">
        <v>31</v>
      </c>
      <c r="U32" s="139" t="s">
        <v>31</v>
      </c>
    </row>
    <row r="33" spans="1:24" x14ac:dyDescent="0.25">
      <c r="A33" s="34"/>
      <c r="B33" t="s">
        <v>92</v>
      </c>
      <c r="C33" s="11">
        <v>2</v>
      </c>
      <c r="D33" s="1">
        <f t="shared" si="4"/>
        <v>2</v>
      </c>
      <c r="E33" t="s">
        <v>93</v>
      </c>
      <c r="F33" t="s">
        <v>94</v>
      </c>
      <c r="M33" s="111" t="s">
        <v>30</v>
      </c>
      <c r="S33" s="137" t="s">
        <v>31</v>
      </c>
    </row>
    <row r="34" spans="1:24" x14ac:dyDescent="0.25">
      <c r="A34" s="34"/>
      <c r="B34" t="s">
        <v>95</v>
      </c>
      <c r="C34" s="11">
        <v>2</v>
      </c>
      <c r="D34" s="1">
        <f t="shared" si="4"/>
        <v>2</v>
      </c>
      <c r="E34" t="s">
        <v>96</v>
      </c>
      <c r="F34" t="s">
        <v>97</v>
      </c>
      <c r="M34" s="111" t="s">
        <v>30</v>
      </c>
      <c r="S34" s="137" t="s">
        <v>31</v>
      </c>
    </row>
    <row r="35" spans="1:24" ht="16.5" customHeight="1" x14ac:dyDescent="0.25">
      <c r="A35" s="34"/>
      <c r="B35" t="s">
        <v>98</v>
      </c>
      <c r="C35" s="11">
        <v>4</v>
      </c>
      <c r="D35" s="1">
        <f t="shared" si="4"/>
        <v>6</v>
      </c>
      <c r="E35" t="s">
        <v>99</v>
      </c>
      <c r="F35" t="s">
        <v>100</v>
      </c>
      <c r="M35" s="111" t="s">
        <v>30</v>
      </c>
      <c r="N35" s="112" t="s">
        <v>31</v>
      </c>
      <c r="P35" s="125" t="s">
        <v>31</v>
      </c>
      <c r="Q35" s="121" t="s">
        <v>31</v>
      </c>
      <c r="V35" s="147" t="s">
        <v>31</v>
      </c>
      <c r="W35" s="56" t="s">
        <v>31</v>
      </c>
    </row>
    <row r="36" spans="1:24" x14ac:dyDescent="0.25">
      <c r="A36" s="34"/>
      <c r="B36" t="s">
        <v>101</v>
      </c>
      <c r="C36" s="11">
        <v>4</v>
      </c>
      <c r="D36" s="1">
        <f t="shared" si="4"/>
        <v>6</v>
      </c>
      <c r="E36" t="s">
        <v>102</v>
      </c>
      <c r="F36" t="s">
        <v>103</v>
      </c>
      <c r="M36" s="111" t="s">
        <v>30</v>
      </c>
      <c r="N36" s="112" t="s">
        <v>31</v>
      </c>
      <c r="P36" s="125" t="s">
        <v>31</v>
      </c>
      <c r="Q36" s="121" t="s">
        <v>31</v>
      </c>
      <c r="S36" s="137" t="s">
        <v>31</v>
      </c>
      <c r="T36" s="133" t="s">
        <v>31</v>
      </c>
    </row>
    <row r="37" spans="1:24" x14ac:dyDescent="0.25">
      <c r="A37" s="34"/>
      <c r="B37" t="s">
        <v>104</v>
      </c>
      <c r="C37" s="11">
        <v>6</v>
      </c>
      <c r="D37" s="1">
        <f t="shared" si="4"/>
        <v>7</v>
      </c>
      <c r="E37" t="s">
        <v>105</v>
      </c>
      <c r="F37" t="s">
        <v>106</v>
      </c>
      <c r="M37" s="111" t="s">
        <v>30</v>
      </c>
      <c r="N37" s="112" t="s">
        <v>31</v>
      </c>
      <c r="O37" s="115" t="s">
        <v>31</v>
      </c>
      <c r="P37" s="125" t="s">
        <v>31</v>
      </c>
      <c r="Q37" s="121" t="s">
        <v>31</v>
      </c>
      <c r="R37" s="127" t="s">
        <v>31</v>
      </c>
      <c r="V37" s="147" t="s">
        <v>31</v>
      </c>
    </row>
    <row r="38" spans="1:24" x14ac:dyDescent="0.25">
      <c r="A38" s="34"/>
      <c r="B38" t="s">
        <v>107</v>
      </c>
      <c r="C38" s="11">
        <v>4</v>
      </c>
      <c r="D38" s="1">
        <f t="shared" si="4"/>
        <v>4</v>
      </c>
      <c r="E38" t="s">
        <v>108</v>
      </c>
      <c r="F38" t="s">
        <v>109</v>
      </c>
      <c r="N38" s="112" t="s">
        <v>30</v>
      </c>
      <c r="O38" s="115" t="s">
        <v>31</v>
      </c>
      <c r="S38" s="137" t="s">
        <v>31</v>
      </c>
      <c r="T38" s="133" t="s">
        <v>31</v>
      </c>
    </row>
    <row r="39" spans="1:24" x14ac:dyDescent="0.25">
      <c r="A39" s="34"/>
      <c r="B39" t="s">
        <v>110</v>
      </c>
      <c r="C39" s="11">
        <v>4</v>
      </c>
      <c r="D39" s="1">
        <f t="shared" si="4"/>
        <v>4</v>
      </c>
      <c r="E39" t="s">
        <v>111</v>
      </c>
      <c r="F39" t="s">
        <v>112</v>
      </c>
      <c r="N39" s="112" t="s">
        <v>30</v>
      </c>
      <c r="O39" s="115" t="s">
        <v>31</v>
      </c>
      <c r="S39" s="137" t="s">
        <v>31</v>
      </c>
      <c r="T39" s="133" t="s">
        <v>31</v>
      </c>
    </row>
    <row r="40" spans="1:24" x14ac:dyDescent="0.25">
      <c r="A40" s="34"/>
      <c r="B40" t="s">
        <v>113</v>
      </c>
      <c r="C40" s="11">
        <v>6</v>
      </c>
      <c r="D40" s="1">
        <f t="shared" si="4"/>
        <v>4</v>
      </c>
      <c r="E40" t="s">
        <v>114</v>
      </c>
      <c r="F40" t="s">
        <v>115</v>
      </c>
      <c r="N40" s="112" t="s">
        <v>30</v>
      </c>
      <c r="O40" s="115" t="s">
        <v>31</v>
      </c>
      <c r="T40" s="133" t="s">
        <v>31</v>
      </c>
      <c r="U40" s="139" t="s">
        <v>31</v>
      </c>
    </row>
    <row r="41" spans="1:24" x14ac:dyDescent="0.25">
      <c r="A41" s="34"/>
      <c r="B41" t="s">
        <v>116</v>
      </c>
      <c r="C41" s="11">
        <v>4</v>
      </c>
      <c r="D41" s="1">
        <f t="shared" si="4"/>
        <v>5</v>
      </c>
      <c r="E41" t="s">
        <v>117</v>
      </c>
      <c r="F41" t="s">
        <v>118</v>
      </c>
      <c r="N41" s="112" t="s">
        <v>30</v>
      </c>
      <c r="O41" s="115" t="s">
        <v>31</v>
      </c>
      <c r="S41" s="137" t="s">
        <v>31</v>
      </c>
      <c r="T41" s="133" t="s">
        <v>31</v>
      </c>
      <c r="U41" s="139" t="s">
        <v>31</v>
      </c>
    </row>
    <row r="42" spans="1:24" x14ac:dyDescent="0.25">
      <c r="A42" s="34"/>
      <c r="B42" t="s">
        <v>119</v>
      </c>
      <c r="C42" s="11">
        <v>6</v>
      </c>
      <c r="D42" s="1">
        <f t="shared" si="4"/>
        <v>3</v>
      </c>
      <c r="E42" t="s">
        <v>120</v>
      </c>
      <c r="F42" t="s">
        <v>121</v>
      </c>
      <c r="N42" s="112" t="s">
        <v>30</v>
      </c>
      <c r="O42" s="115" t="s">
        <v>31</v>
      </c>
      <c r="U42" s="139" t="s">
        <v>31</v>
      </c>
    </row>
    <row r="43" spans="1:24" x14ac:dyDescent="0.25">
      <c r="A43" s="34"/>
      <c r="B43" t="s">
        <v>122</v>
      </c>
      <c r="C43" s="11">
        <v>6</v>
      </c>
      <c r="D43" s="1">
        <f t="shared" si="4"/>
        <v>3</v>
      </c>
      <c r="E43" t="s">
        <v>123</v>
      </c>
      <c r="F43" t="s">
        <v>124</v>
      </c>
      <c r="O43" s="115" t="s">
        <v>30</v>
      </c>
      <c r="R43" s="127" t="s">
        <v>31</v>
      </c>
      <c r="X43" s="149" t="s">
        <v>31</v>
      </c>
    </row>
    <row r="44" spans="1:24" x14ac:dyDescent="0.25">
      <c r="A44" s="34"/>
      <c r="B44" t="s">
        <v>125</v>
      </c>
      <c r="C44" s="11">
        <v>4</v>
      </c>
      <c r="D44" s="1">
        <f t="shared" si="4"/>
        <v>2</v>
      </c>
      <c r="E44" t="s">
        <v>126</v>
      </c>
      <c r="F44" t="s">
        <v>127</v>
      </c>
      <c r="O44" s="115" t="s">
        <v>30</v>
      </c>
      <c r="U44" s="139" t="s">
        <v>31</v>
      </c>
    </row>
    <row r="45" spans="1:24" x14ac:dyDescent="0.25">
      <c r="A45" s="34"/>
      <c r="B45" t="s">
        <v>128</v>
      </c>
      <c r="C45" s="11">
        <v>4</v>
      </c>
      <c r="D45" s="1">
        <f t="shared" si="4"/>
        <v>2</v>
      </c>
      <c r="E45" t="s">
        <v>129</v>
      </c>
      <c r="F45" t="s">
        <v>130</v>
      </c>
      <c r="O45" s="115" t="s">
        <v>30</v>
      </c>
      <c r="U45" s="139" t="s">
        <v>31</v>
      </c>
    </row>
    <row r="46" spans="1:24" x14ac:dyDescent="0.25">
      <c r="A46" s="34"/>
      <c r="B46" t="s">
        <v>131</v>
      </c>
      <c r="C46" s="11">
        <v>6</v>
      </c>
      <c r="D46" s="1">
        <f t="shared" si="4"/>
        <v>4</v>
      </c>
      <c r="E46" t="s">
        <v>132</v>
      </c>
      <c r="F46" t="s">
        <v>133</v>
      </c>
      <c r="N46" s="63"/>
      <c r="P46" s="125" t="s">
        <v>30</v>
      </c>
      <c r="Q46" s="126" t="s">
        <v>31</v>
      </c>
      <c r="V46" s="147" t="s">
        <v>31</v>
      </c>
      <c r="W46" s="61" t="s">
        <v>31</v>
      </c>
    </row>
    <row r="47" spans="1:24" x14ac:dyDescent="0.25">
      <c r="A47" s="34"/>
      <c r="B47" t="s">
        <v>134</v>
      </c>
      <c r="C47" s="11">
        <v>6</v>
      </c>
      <c r="D47" s="1">
        <f t="shared" si="4"/>
        <v>3</v>
      </c>
      <c r="E47" t="s">
        <v>135</v>
      </c>
      <c r="F47" t="s">
        <v>136</v>
      </c>
      <c r="N47" s="63"/>
      <c r="P47" s="125" t="s">
        <v>30</v>
      </c>
      <c r="Q47" s="126" t="s">
        <v>31</v>
      </c>
      <c r="V47" s="147" t="s">
        <v>31</v>
      </c>
    </row>
    <row r="48" spans="1:24" x14ac:dyDescent="0.25">
      <c r="A48" s="34"/>
      <c r="B48" t="s">
        <v>137</v>
      </c>
      <c r="C48" s="11">
        <v>6</v>
      </c>
      <c r="D48" s="1">
        <f t="shared" si="4"/>
        <v>3</v>
      </c>
      <c r="E48" t="s">
        <v>138</v>
      </c>
      <c r="F48" t="s">
        <v>139</v>
      </c>
      <c r="N48" s="63"/>
      <c r="P48" s="125" t="s">
        <v>30</v>
      </c>
      <c r="Q48" s="126" t="s">
        <v>31</v>
      </c>
      <c r="V48" s="147" t="s">
        <v>31</v>
      </c>
    </row>
    <row r="49" spans="1:30" x14ac:dyDescent="0.25">
      <c r="A49" s="34"/>
      <c r="B49" t="s">
        <v>140</v>
      </c>
      <c r="C49" s="11">
        <v>6</v>
      </c>
      <c r="D49" s="1">
        <f t="shared" si="4"/>
        <v>4</v>
      </c>
      <c r="E49" t="s">
        <v>141</v>
      </c>
      <c r="F49" t="s">
        <v>142</v>
      </c>
      <c r="P49" s="125" t="s">
        <v>30</v>
      </c>
      <c r="Q49" s="126" t="s">
        <v>31</v>
      </c>
      <c r="V49" s="147" t="s">
        <v>31</v>
      </c>
      <c r="W49" s="61" t="s">
        <v>31</v>
      </c>
    </row>
    <row r="50" spans="1:30" x14ac:dyDescent="0.25">
      <c r="A50" s="34"/>
      <c r="B50" t="s">
        <v>143</v>
      </c>
      <c r="C50" s="11">
        <v>6</v>
      </c>
      <c r="D50" s="1">
        <f t="shared" si="4"/>
        <v>6</v>
      </c>
      <c r="E50" t="s">
        <v>144</v>
      </c>
      <c r="F50" t="s">
        <v>145</v>
      </c>
      <c r="O50" s="63"/>
      <c r="P50" s="125" t="s">
        <v>30</v>
      </c>
      <c r="Q50" s="126" t="s">
        <v>31</v>
      </c>
      <c r="S50" s="137" t="s">
        <v>31</v>
      </c>
      <c r="T50" s="133" t="s">
        <v>31</v>
      </c>
      <c r="V50" s="147" t="s">
        <v>31</v>
      </c>
      <c r="W50" s="61" t="s">
        <v>31</v>
      </c>
    </row>
    <row r="51" spans="1:30" x14ac:dyDescent="0.25">
      <c r="A51" s="34"/>
      <c r="B51" t="s">
        <v>146</v>
      </c>
      <c r="C51" s="11">
        <v>6</v>
      </c>
      <c r="D51" s="1">
        <f t="shared" si="4"/>
        <v>6</v>
      </c>
      <c r="E51" t="s">
        <v>147</v>
      </c>
      <c r="F51" t="s">
        <v>148</v>
      </c>
      <c r="P51" s="125" t="s">
        <v>30</v>
      </c>
      <c r="Q51" s="126" t="s">
        <v>31</v>
      </c>
      <c r="S51" s="137" t="s">
        <v>31</v>
      </c>
      <c r="T51" s="133" t="s">
        <v>31</v>
      </c>
      <c r="V51" s="147" t="s">
        <v>31</v>
      </c>
      <c r="W51" s="61" t="s">
        <v>31</v>
      </c>
    </row>
    <row r="52" spans="1:30" x14ac:dyDescent="0.25">
      <c r="A52" s="34"/>
      <c r="B52" t="s">
        <v>149</v>
      </c>
      <c r="C52" s="11">
        <v>6</v>
      </c>
      <c r="D52" s="1">
        <f t="shared" si="4"/>
        <v>6</v>
      </c>
      <c r="E52" t="s">
        <v>150</v>
      </c>
      <c r="F52" t="s">
        <v>151</v>
      </c>
      <c r="P52" s="125" t="s">
        <v>30</v>
      </c>
      <c r="Q52" s="126" t="s">
        <v>31</v>
      </c>
      <c r="S52" s="137" t="s">
        <v>31</v>
      </c>
      <c r="T52" s="133" t="s">
        <v>31</v>
      </c>
      <c r="V52" s="147" t="s">
        <v>31</v>
      </c>
      <c r="W52" s="61" t="s">
        <v>31</v>
      </c>
    </row>
    <row r="53" spans="1:30" x14ac:dyDescent="0.25">
      <c r="A53" s="34"/>
      <c r="B53" t="s">
        <v>152</v>
      </c>
      <c r="C53" s="11">
        <v>6</v>
      </c>
      <c r="D53" s="1">
        <f t="shared" si="4"/>
        <v>4</v>
      </c>
      <c r="E53" t="s">
        <v>153</v>
      </c>
      <c r="F53" t="s">
        <v>154</v>
      </c>
      <c r="M53" s="80"/>
      <c r="N53" s="63"/>
      <c r="Q53" s="126" t="s">
        <v>30</v>
      </c>
      <c r="R53" s="127" t="s">
        <v>31</v>
      </c>
      <c r="S53" s="137" t="s">
        <v>31</v>
      </c>
      <c r="T53" s="133" t="s">
        <v>31</v>
      </c>
      <c r="W53" s="62"/>
      <c r="X53" s="62"/>
    </row>
    <row r="54" spans="1:30" s="8" customFormat="1" ht="6.75" customHeight="1" x14ac:dyDescent="0.25">
      <c r="B54" s="9"/>
      <c r="C54" s="17"/>
      <c r="D54" s="9"/>
      <c r="E54" s="9"/>
      <c r="F54" s="9"/>
      <c r="G54" s="81"/>
      <c r="H54" s="54"/>
      <c r="I54" s="54"/>
      <c r="J54" s="81"/>
      <c r="K54" s="54"/>
      <c r="L54" s="54"/>
      <c r="M54" s="81"/>
      <c r="N54" s="54"/>
      <c r="O54" s="54"/>
      <c r="P54" s="113"/>
      <c r="Q54" s="55"/>
      <c r="R54" s="55"/>
      <c r="S54" s="81"/>
      <c r="T54" s="54"/>
      <c r="U54" s="54"/>
      <c r="V54" s="81"/>
      <c r="W54" s="54"/>
      <c r="X54" s="54"/>
      <c r="Y54" s="81"/>
      <c r="Z54" s="54"/>
      <c r="AA54" s="54"/>
      <c r="AB54" s="170"/>
      <c r="AC54" s="52"/>
      <c r="AD54" s="171"/>
    </row>
    <row r="55" spans="1:30" ht="15" customHeight="1" x14ac:dyDescent="0.25">
      <c r="A55" s="173" t="s">
        <v>155</v>
      </c>
      <c r="B55" t="s">
        <v>156</v>
      </c>
      <c r="C55" s="11">
        <v>1</v>
      </c>
      <c r="D55" s="1">
        <f t="shared" ref="D55:D74" si="5">COUNTIF(G55:AAA55,"✅")+COUNTIF(G55:AAA55,"✔️")</f>
        <v>4</v>
      </c>
      <c r="E55" t="s">
        <v>157</v>
      </c>
      <c r="F55" t="s">
        <v>158</v>
      </c>
      <c r="S55" s="137" t="s">
        <v>30</v>
      </c>
      <c r="V55" s="147" t="s">
        <v>31</v>
      </c>
      <c r="Y55" s="159" t="s">
        <v>31</v>
      </c>
      <c r="AB55" s="166" t="s">
        <v>31</v>
      </c>
      <c r="AC55" s="53"/>
      <c r="AD55" s="110"/>
    </row>
    <row r="56" spans="1:30" x14ac:dyDescent="0.25">
      <c r="A56" s="173"/>
      <c r="B56" t="s">
        <v>159</v>
      </c>
      <c r="C56" s="11">
        <v>1</v>
      </c>
      <c r="D56" s="1">
        <f t="shared" si="5"/>
        <v>4</v>
      </c>
      <c r="E56" t="s">
        <v>160</v>
      </c>
      <c r="F56" t="s">
        <v>161</v>
      </c>
      <c r="S56" s="137" t="s">
        <v>30</v>
      </c>
      <c r="V56" s="147" t="s">
        <v>31</v>
      </c>
      <c r="Y56" s="159" t="s">
        <v>31</v>
      </c>
      <c r="AB56" s="166" t="s">
        <v>31</v>
      </c>
      <c r="AC56" s="53"/>
      <c r="AD56" s="110"/>
    </row>
    <row r="57" spans="1:30" x14ac:dyDescent="0.25">
      <c r="A57" s="173"/>
      <c r="B57" t="s">
        <v>162</v>
      </c>
      <c r="C57" s="11">
        <v>1</v>
      </c>
      <c r="D57" s="1">
        <f t="shared" si="5"/>
        <v>4</v>
      </c>
      <c r="E57" t="s">
        <v>163</v>
      </c>
      <c r="F57" t="s">
        <v>164</v>
      </c>
      <c r="S57" s="137" t="s">
        <v>30</v>
      </c>
      <c r="V57" s="147" t="s">
        <v>31</v>
      </c>
      <c r="Y57" s="159" t="s">
        <v>31</v>
      </c>
      <c r="AB57" s="166" t="s">
        <v>31</v>
      </c>
      <c r="AC57" s="53"/>
      <c r="AD57" s="110"/>
    </row>
    <row r="58" spans="1:30" x14ac:dyDescent="0.25">
      <c r="A58" s="173"/>
      <c r="B58" t="s">
        <v>165</v>
      </c>
      <c r="C58" s="11">
        <v>1</v>
      </c>
      <c r="D58" s="1">
        <f t="shared" si="5"/>
        <v>4</v>
      </c>
      <c r="E58" t="s">
        <v>166</v>
      </c>
      <c r="F58" t="s">
        <v>167</v>
      </c>
      <c r="S58" s="137" t="s">
        <v>30</v>
      </c>
      <c r="V58" s="147" t="s">
        <v>31</v>
      </c>
      <c r="Y58" s="159" t="s">
        <v>31</v>
      </c>
      <c r="AB58" s="166" t="s">
        <v>31</v>
      </c>
      <c r="AC58" s="53"/>
      <c r="AD58" s="110"/>
    </row>
    <row r="59" spans="1:30" x14ac:dyDescent="0.25">
      <c r="A59" s="173"/>
      <c r="B59" t="s">
        <v>168</v>
      </c>
      <c r="C59" s="11">
        <v>1</v>
      </c>
      <c r="D59" s="1">
        <f t="shared" si="5"/>
        <v>4</v>
      </c>
      <c r="E59" t="s">
        <v>169</v>
      </c>
      <c r="F59" t="s">
        <v>170</v>
      </c>
      <c r="S59" s="137" t="s">
        <v>30</v>
      </c>
      <c r="V59" s="147" t="s">
        <v>31</v>
      </c>
      <c r="Y59" s="159" t="s">
        <v>31</v>
      </c>
      <c r="AB59" s="166" t="s">
        <v>31</v>
      </c>
      <c r="AC59" s="53"/>
      <c r="AD59" s="110"/>
    </row>
    <row r="60" spans="1:30" x14ac:dyDescent="0.25">
      <c r="A60" s="173"/>
      <c r="B60" t="s">
        <v>171</v>
      </c>
      <c r="C60" s="11">
        <v>1</v>
      </c>
      <c r="D60" s="1">
        <f t="shared" si="5"/>
        <v>4</v>
      </c>
      <c r="E60" t="s">
        <v>172</v>
      </c>
      <c r="F60" t="s">
        <v>173</v>
      </c>
      <c r="S60" s="137" t="s">
        <v>30</v>
      </c>
      <c r="V60" s="147" t="s">
        <v>31</v>
      </c>
      <c r="Y60" s="159" t="s">
        <v>31</v>
      </c>
      <c r="AB60" s="166" t="s">
        <v>31</v>
      </c>
      <c r="AC60" s="53"/>
      <c r="AD60" s="110"/>
    </row>
    <row r="61" spans="1:30" x14ac:dyDescent="0.25">
      <c r="A61" s="173"/>
      <c r="B61" t="s">
        <v>174</v>
      </c>
      <c r="C61" s="11">
        <v>1</v>
      </c>
      <c r="D61" s="1">
        <f t="shared" si="5"/>
        <v>4</v>
      </c>
      <c r="E61" t="s">
        <v>175</v>
      </c>
      <c r="F61" t="s">
        <v>176</v>
      </c>
      <c r="S61" s="137" t="s">
        <v>30</v>
      </c>
      <c r="V61" s="147" t="s">
        <v>31</v>
      </c>
      <c r="Y61" s="159" t="s">
        <v>31</v>
      </c>
      <c r="AB61" s="166" t="s">
        <v>31</v>
      </c>
      <c r="AC61" s="53"/>
      <c r="AD61" s="110"/>
    </row>
    <row r="62" spans="1:30" x14ac:dyDescent="0.25">
      <c r="A62" s="173"/>
      <c r="B62" t="s">
        <v>180</v>
      </c>
      <c r="C62" s="11">
        <v>4</v>
      </c>
      <c r="D62" s="1">
        <f t="shared" si="5"/>
        <v>3</v>
      </c>
      <c r="E62" t="s">
        <v>181</v>
      </c>
      <c r="F62" t="s">
        <v>182</v>
      </c>
      <c r="S62" s="137" t="s">
        <v>30</v>
      </c>
      <c r="T62" s="133" t="s">
        <v>31</v>
      </c>
      <c r="V62" s="147" t="s">
        <v>31</v>
      </c>
      <c r="Y62" s="83"/>
      <c r="AC62" s="53"/>
      <c r="AD62" s="110"/>
    </row>
    <row r="63" spans="1:30" x14ac:dyDescent="0.25">
      <c r="A63" s="173"/>
      <c r="B63" t="s">
        <v>183</v>
      </c>
      <c r="C63" s="11">
        <v>4</v>
      </c>
      <c r="D63" s="1">
        <f t="shared" si="5"/>
        <v>3</v>
      </c>
      <c r="E63" t="s">
        <v>184</v>
      </c>
      <c r="F63" t="s">
        <v>185</v>
      </c>
      <c r="S63" s="137" t="s">
        <v>30</v>
      </c>
      <c r="T63" s="133" t="s">
        <v>31</v>
      </c>
      <c r="V63" s="147" t="s">
        <v>31</v>
      </c>
      <c r="Y63" s="83"/>
      <c r="AC63" s="53"/>
      <c r="AD63" s="110"/>
    </row>
    <row r="64" spans="1:30" x14ac:dyDescent="0.25">
      <c r="A64" s="173"/>
      <c r="B64" t="s">
        <v>207</v>
      </c>
      <c r="C64" s="11">
        <v>6</v>
      </c>
      <c r="D64" s="1">
        <f t="shared" si="5"/>
        <v>2</v>
      </c>
      <c r="E64" t="s">
        <v>208</v>
      </c>
      <c r="F64" t="s">
        <v>209</v>
      </c>
      <c r="T64" s="138" t="s">
        <v>30</v>
      </c>
      <c r="V64" s="147" t="s">
        <v>31</v>
      </c>
      <c r="Z64" s="51"/>
      <c r="AB64" s="109"/>
      <c r="AD64" s="110"/>
    </row>
    <row r="65" spans="1:30" x14ac:dyDescent="0.25">
      <c r="A65" s="173"/>
      <c r="B65" t="s">
        <v>264</v>
      </c>
      <c r="C65" s="11">
        <v>6</v>
      </c>
      <c r="D65" s="1">
        <f t="shared" ref="D65:D71" si="6">COUNTIF(G65:AAA65,"✅")+COUNTIF(G65:AAA65,"✔️")</f>
        <v>4</v>
      </c>
      <c r="E65" t="s">
        <v>265</v>
      </c>
      <c r="F65" t="s">
        <v>266</v>
      </c>
      <c r="T65" s="138" t="s">
        <v>30</v>
      </c>
      <c r="U65" s="139" t="s">
        <v>31</v>
      </c>
      <c r="Y65" s="83"/>
      <c r="Z65" s="156" t="s">
        <v>31</v>
      </c>
      <c r="AA65" s="160" t="s">
        <v>31</v>
      </c>
      <c r="AC65" s="53"/>
    </row>
    <row r="66" spans="1:30" x14ac:dyDescent="0.25">
      <c r="A66" s="173"/>
      <c r="B66" t="s">
        <v>267</v>
      </c>
      <c r="C66" s="11">
        <v>6</v>
      </c>
      <c r="D66" s="1">
        <f t="shared" si="6"/>
        <v>4</v>
      </c>
      <c r="E66" t="s">
        <v>268</v>
      </c>
      <c r="F66" t="s">
        <v>269</v>
      </c>
      <c r="T66" s="138" t="s">
        <v>30</v>
      </c>
      <c r="U66" s="139" t="s">
        <v>31</v>
      </c>
      <c r="Y66" s="83"/>
      <c r="Z66" s="156" t="s">
        <v>31</v>
      </c>
      <c r="AA66" s="160" t="s">
        <v>31</v>
      </c>
      <c r="AC66" s="53"/>
    </row>
    <row r="67" spans="1:30" x14ac:dyDescent="0.25">
      <c r="A67" s="173"/>
      <c r="B67" t="s">
        <v>273</v>
      </c>
      <c r="C67" s="11">
        <v>6</v>
      </c>
      <c r="D67" s="1">
        <f t="shared" si="6"/>
        <v>4</v>
      </c>
      <c r="E67" t="s">
        <v>274</v>
      </c>
      <c r="F67" t="s">
        <v>275</v>
      </c>
      <c r="T67" s="138" t="s">
        <v>30</v>
      </c>
      <c r="U67" s="139" t="s">
        <v>31</v>
      </c>
      <c r="Y67" s="83"/>
      <c r="Z67" s="156" t="s">
        <v>31</v>
      </c>
      <c r="AA67" s="160" t="s">
        <v>31</v>
      </c>
      <c r="AC67" s="53"/>
    </row>
    <row r="68" spans="1:30" x14ac:dyDescent="0.25">
      <c r="A68" s="173"/>
      <c r="B68" t="s">
        <v>270</v>
      </c>
      <c r="C68" s="11">
        <v>6</v>
      </c>
      <c r="D68" s="1">
        <f t="shared" si="6"/>
        <v>2</v>
      </c>
      <c r="E68" t="s">
        <v>271</v>
      </c>
      <c r="F68" t="s">
        <v>272</v>
      </c>
      <c r="U68" s="139" t="s">
        <v>30</v>
      </c>
      <c r="Y68" s="83"/>
      <c r="Z68" s="51"/>
      <c r="AA68" s="160" t="s">
        <v>31</v>
      </c>
    </row>
    <row r="69" spans="1:30" x14ac:dyDescent="0.25">
      <c r="A69" s="173"/>
      <c r="B69" t="s">
        <v>276</v>
      </c>
      <c r="C69" s="11">
        <v>6</v>
      </c>
      <c r="D69" s="1">
        <f t="shared" si="6"/>
        <v>2</v>
      </c>
      <c r="E69" t="s">
        <v>277</v>
      </c>
      <c r="F69" t="s">
        <v>278</v>
      </c>
      <c r="U69" s="139" t="s">
        <v>30</v>
      </c>
      <c r="Y69" s="83"/>
      <c r="Z69" s="51"/>
      <c r="AA69" s="160" t="s">
        <v>31</v>
      </c>
    </row>
    <row r="70" spans="1:30" x14ac:dyDescent="0.25">
      <c r="A70" s="173"/>
      <c r="B70" t="s">
        <v>228</v>
      </c>
      <c r="C70" s="11">
        <v>6</v>
      </c>
      <c r="D70" s="1">
        <f>COUNTIF(G70:AAA70,"✅")+COUNTIF(G70:AAA70,"✔️")</f>
        <v>2</v>
      </c>
      <c r="E70" t="s">
        <v>229</v>
      </c>
      <c r="F70" t="s">
        <v>230</v>
      </c>
      <c r="U70" s="139" t="s">
        <v>30</v>
      </c>
      <c r="AA70" s="160" t="s">
        <v>31</v>
      </c>
      <c r="AB70" s="109"/>
      <c r="AC70" s="53"/>
    </row>
    <row r="71" spans="1:30" x14ac:dyDescent="0.25">
      <c r="A71" s="173"/>
      <c r="B71" t="s">
        <v>192</v>
      </c>
      <c r="C71" s="11">
        <v>6</v>
      </c>
      <c r="D71" s="1">
        <f t="shared" si="6"/>
        <v>4</v>
      </c>
      <c r="E71" t="s">
        <v>193</v>
      </c>
      <c r="F71" t="s">
        <v>194</v>
      </c>
      <c r="V71" s="147" t="s">
        <v>30</v>
      </c>
      <c r="W71" s="61" t="s">
        <v>31</v>
      </c>
      <c r="Z71" s="156" t="s">
        <v>31</v>
      </c>
      <c r="AA71" s="160" t="s">
        <v>31</v>
      </c>
      <c r="AB71" s="109"/>
      <c r="AC71" s="53"/>
    </row>
    <row r="72" spans="1:30" x14ac:dyDescent="0.25">
      <c r="A72" s="173"/>
      <c r="B72" t="s">
        <v>240</v>
      </c>
      <c r="C72" s="11">
        <v>4</v>
      </c>
      <c r="D72" s="1">
        <f t="shared" si="5"/>
        <v>3</v>
      </c>
      <c r="E72" t="s">
        <v>241</v>
      </c>
      <c r="F72" t="s">
        <v>242</v>
      </c>
      <c r="V72" s="147" t="s">
        <v>30</v>
      </c>
      <c r="W72" s="61" t="s">
        <v>31</v>
      </c>
      <c r="Y72" s="83"/>
      <c r="Z72" s="51"/>
      <c r="AA72" s="51"/>
      <c r="AB72" s="166" t="s">
        <v>31</v>
      </c>
    </row>
    <row r="73" spans="1:30" x14ac:dyDescent="0.25">
      <c r="A73" s="173"/>
      <c r="B73" t="s">
        <v>246</v>
      </c>
      <c r="C73" s="11">
        <v>4</v>
      </c>
      <c r="D73" s="1">
        <f t="shared" si="5"/>
        <v>3</v>
      </c>
      <c r="E73" t="s">
        <v>247</v>
      </c>
      <c r="F73" t="s">
        <v>248</v>
      </c>
      <c r="V73" s="147" t="s">
        <v>30</v>
      </c>
      <c r="W73" s="61" t="s">
        <v>31</v>
      </c>
      <c r="Y73" s="159" t="s">
        <v>31</v>
      </c>
      <c r="Z73" s="51"/>
      <c r="AA73" s="51"/>
      <c r="AB73" s="109"/>
    </row>
    <row r="74" spans="1:30" x14ac:dyDescent="0.25">
      <c r="A74" s="173"/>
      <c r="B74" t="s">
        <v>249</v>
      </c>
      <c r="C74" s="11">
        <v>4</v>
      </c>
      <c r="D74" s="1">
        <f t="shared" si="5"/>
        <v>3</v>
      </c>
      <c r="E74" t="s">
        <v>250</v>
      </c>
      <c r="F74" t="s">
        <v>251</v>
      </c>
      <c r="V74" s="147" t="s">
        <v>30</v>
      </c>
      <c r="W74" s="61" t="s">
        <v>31</v>
      </c>
      <c r="Y74" s="159" t="s">
        <v>31</v>
      </c>
      <c r="Z74" s="51"/>
      <c r="AA74" s="51"/>
      <c r="AB74" s="109"/>
    </row>
    <row r="75" spans="1:30" x14ac:dyDescent="0.25">
      <c r="A75" s="173"/>
      <c r="B75" t="s">
        <v>204</v>
      </c>
      <c r="C75" s="11">
        <v>6</v>
      </c>
      <c r="D75" s="1">
        <f>COUNTIF(G75:AAA75,"✅")+COUNTIF(G75:AAA75,"✔️")</f>
        <v>4</v>
      </c>
      <c r="E75" t="s">
        <v>205</v>
      </c>
      <c r="F75" t="s">
        <v>206</v>
      </c>
      <c r="W75" s="61" t="s">
        <v>30</v>
      </c>
      <c r="X75" s="149" t="s">
        <v>31</v>
      </c>
      <c r="Z75" s="156" t="s">
        <v>31</v>
      </c>
      <c r="AA75" s="160" t="s">
        <v>31</v>
      </c>
      <c r="AB75" s="109"/>
    </row>
    <row r="76" spans="1:30" x14ac:dyDescent="0.25">
      <c r="A76" s="173"/>
      <c r="B76" t="s">
        <v>255</v>
      </c>
      <c r="C76" s="11">
        <v>4</v>
      </c>
      <c r="D76" s="1">
        <f t="shared" ref="D76:D124" si="7">COUNTIF(G76:AAA76,"✅")+COUNTIF(G76:AAA76,"✔️")</f>
        <v>2</v>
      </c>
      <c r="E76" t="s">
        <v>256</v>
      </c>
      <c r="F76" t="s">
        <v>257</v>
      </c>
      <c r="W76" s="61" t="s">
        <v>30</v>
      </c>
      <c r="X76" s="149" t="s">
        <v>31</v>
      </c>
      <c r="Y76" s="83"/>
      <c r="Z76" s="51"/>
      <c r="AA76" s="51"/>
    </row>
    <row r="77" spans="1:30" x14ac:dyDescent="0.25">
      <c r="A77" s="173"/>
      <c r="B77" t="s">
        <v>258</v>
      </c>
      <c r="C77" s="11">
        <v>4</v>
      </c>
      <c r="D77" s="1">
        <f t="shared" si="7"/>
        <v>4</v>
      </c>
      <c r="E77" t="s">
        <v>259</v>
      </c>
      <c r="F77" t="s">
        <v>260</v>
      </c>
      <c r="W77" s="61" t="s">
        <v>30</v>
      </c>
      <c r="X77" s="149" t="s">
        <v>31</v>
      </c>
      <c r="Y77" s="83"/>
      <c r="Z77" s="51"/>
      <c r="AA77" s="51"/>
      <c r="AC77" s="50" t="s">
        <v>31</v>
      </c>
      <c r="AD77" s="167" t="s">
        <v>31</v>
      </c>
    </row>
    <row r="78" spans="1:30" x14ac:dyDescent="0.25">
      <c r="A78" s="173"/>
      <c r="B78" t="s">
        <v>261</v>
      </c>
      <c r="C78" s="11">
        <v>6</v>
      </c>
      <c r="D78" s="1">
        <f t="shared" si="7"/>
        <v>4</v>
      </c>
      <c r="E78" t="s">
        <v>262</v>
      </c>
      <c r="F78" t="s">
        <v>263</v>
      </c>
      <c r="W78" s="61" t="s">
        <v>30</v>
      </c>
      <c r="X78" s="149" t="s">
        <v>31</v>
      </c>
      <c r="Y78" s="83"/>
      <c r="Z78" s="51"/>
      <c r="AA78" s="51"/>
      <c r="AC78" s="50" t="s">
        <v>31</v>
      </c>
      <c r="AD78" s="167" t="s">
        <v>31</v>
      </c>
    </row>
    <row r="79" spans="1:30" x14ac:dyDescent="0.25">
      <c r="A79" s="173"/>
      <c r="B79" t="s">
        <v>222</v>
      </c>
      <c r="C79" s="11">
        <v>6</v>
      </c>
      <c r="D79" s="1">
        <f>COUNTIF(G79:AAA79,"✅")+COUNTIF(G79:AAA79,"✔️")</f>
        <v>3</v>
      </c>
      <c r="E79" t="s">
        <v>223</v>
      </c>
      <c r="F79" t="s">
        <v>224</v>
      </c>
      <c r="X79" s="150" t="s">
        <v>30</v>
      </c>
      <c r="AA79" s="51"/>
      <c r="AB79" s="109"/>
      <c r="AC79" s="50" t="s">
        <v>31</v>
      </c>
      <c r="AD79" s="167" t="s">
        <v>31</v>
      </c>
    </row>
    <row r="80" spans="1:30" x14ac:dyDescent="0.25">
      <c r="A80" s="173"/>
      <c r="B80" t="s">
        <v>225</v>
      </c>
      <c r="C80" s="11">
        <v>6</v>
      </c>
      <c r="D80" s="1">
        <f>COUNTIF(G80:AAA80,"✅")+COUNTIF(G80:AAA80,"✔️")</f>
        <v>3</v>
      </c>
      <c r="E80" t="s">
        <v>226</v>
      </c>
      <c r="F80" t="s">
        <v>227</v>
      </c>
      <c r="X80" s="150" t="s">
        <v>30</v>
      </c>
      <c r="AA80" s="51"/>
      <c r="AB80" s="109"/>
      <c r="AC80" s="50" t="s">
        <v>31</v>
      </c>
      <c r="AD80" s="167" t="s">
        <v>31</v>
      </c>
    </row>
    <row r="81" spans="1:30" x14ac:dyDescent="0.25">
      <c r="A81" s="173"/>
      <c r="B81" t="s">
        <v>281</v>
      </c>
      <c r="C81" s="11">
        <v>6</v>
      </c>
      <c r="D81" s="1">
        <f>COUNTIF(G81:AAA81,"✅")+COUNTIF(G81:AAA81,"✔️")</f>
        <v>2</v>
      </c>
      <c r="E81" t="s">
        <v>282</v>
      </c>
      <c r="F81" t="s">
        <v>283</v>
      </c>
      <c r="X81" s="150" t="s">
        <v>30</v>
      </c>
      <c r="Y81" s="83"/>
      <c r="Z81" s="51"/>
      <c r="AA81" s="51"/>
      <c r="AD81" s="167" t="s">
        <v>31</v>
      </c>
    </row>
    <row r="82" spans="1:30" x14ac:dyDescent="0.25">
      <c r="A82" s="173"/>
      <c r="B82" t="s">
        <v>186</v>
      </c>
      <c r="C82" s="11">
        <v>6</v>
      </c>
      <c r="D82" s="1">
        <f t="shared" ref="D82:D92" si="8">COUNTIF(G82:AAA82,"✅")+COUNTIF(G82:AAA82,"✔️")</f>
        <v>4</v>
      </c>
      <c r="E82" t="s">
        <v>187</v>
      </c>
      <c r="F82" t="s">
        <v>188</v>
      </c>
      <c r="Y82" s="159" t="s">
        <v>30</v>
      </c>
      <c r="Z82" s="156" t="s">
        <v>31</v>
      </c>
      <c r="AA82" s="51"/>
      <c r="AB82" s="166" t="s">
        <v>31</v>
      </c>
      <c r="AC82" s="50" t="s">
        <v>31</v>
      </c>
    </row>
    <row r="83" spans="1:30" x14ac:dyDescent="0.25">
      <c r="A83" s="173"/>
      <c r="B83" t="s">
        <v>189</v>
      </c>
      <c r="C83" s="11">
        <v>6</v>
      </c>
      <c r="D83" s="1">
        <f t="shared" si="8"/>
        <v>4</v>
      </c>
      <c r="E83" t="s">
        <v>190</v>
      </c>
      <c r="F83" t="s">
        <v>191</v>
      </c>
      <c r="Y83" s="159" t="s">
        <v>30</v>
      </c>
      <c r="Z83" s="156" t="s">
        <v>31</v>
      </c>
      <c r="AB83" s="166" t="s">
        <v>31</v>
      </c>
      <c r="AC83" s="50" t="s">
        <v>31</v>
      </c>
      <c r="AD83" s="110"/>
    </row>
    <row r="84" spans="1:30" x14ac:dyDescent="0.25">
      <c r="A84" s="173"/>
      <c r="B84" t="s">
        <v>231</v>
      </c>
      <c r="C84" s="11">
        <v>6</v>
      </c>
      <c r="D84" s="1">
        <f t="shared" si="8"/>
        <v>4</v>
      </c>
      <c r="E84" t="s">
        <v>232</v>
      </c>
      <c r="F84" t="s">
        <v>233</v>
      </c>
      <c r="Y84" s="159" t="s">
        <v>30</v>
      </c>
      <c r="Z84" s="156" t="s">
        <v>31</v>
      </c>
      <c r="AB84" s="166" t="s">
        <v>31</v>
      </c>
      <c r="AC84" s="50" t="s">
        <v>31</v>
      </c>
      <c r="AD84" s="110"/>
    </row>
    <row r="85" spans="1:30" x14ac:dyDescent="0.25">
      <c r="A85" s="173"/>
      <c r="B85" t="s">
        <v>237</v>
      </c>
      <c r="C85" s="11">
        <v>4</v>
      </c>
      <c r="D85" s="1">
        <f>COUNTIF(G85:AAA85,"✅")+COUNTIF(G85:AAA85,"✔️")</f>
        <v>2</v>
      </c>
      <c r="E85" t="s">
        <v>238</v>
      </c>
      <c r="F85" t="s">
        <v>239</v>
      </c>
      <c r="Y85" s="159" t="s">
        <v>30</v>
      </c>
      <c r="Z85" s="156" t="s">
        <v>31</v>
      </c>
      <c r="AB85" s="109"/>
      <c r="AD85" s="110"/>
    </row>
    <row r="86" spans="1:30" x14ac:dyDescent="0.25">
      <c r="A86" s="173"/>
      <c r="B86" t="s">
        <v>252</v>
      </c>
      <c r="C86" s="11">
        <v>6</v>
      </c>
      <c r="D86" s="1">
        <f>COUNTIF(G86:AAA86,"✅")+COUNTIF(G86:AAA86,"✔️")</f>
        <v>3</v>
      </c>
      <c r="E86" t="s">
        <v>253</v>
      </c>
      <c r="F86" t="s">
        <v>254</v>
      </c>
      <c r="Y86" s="159" t="s">
        <v>30</v>
      </c>
      <c r="Z86" s="156" t="s">
        <v>31</v>
      </c>
      <c r="AA86" s="160" t="s">
        <v>31</v>
      </c>
    </row>
    <row r="87" spans="1:30" x14ac:dyDescent="0.25">
      <c r="A87" s="173"/>
      <c r="B87" t="s">
        <v>198</v>
      </c>
      <c r="C87" s="11">
        <v>4</v>
      </c>
      <c r="D87" s="1">
        <f>COUNTIF(G87:AAA87,"✅")+COUNTIF(G87:AAA87,"✔️")</f>
        <v>3</v>
      </c>
      <c r="E87" t="s">
        <v>199</v>
      </c>
      <c r="F87" t="s">
        <v>200</v>
      </c>
      <c r="Z87" s="156" t="s">
        <v>30</v>
      </c>
      <c r="AB87" s="166" t="s">
        <v>31</v>
      </c>
      <c r="AC87" s="50" t="s">
        <v>31</v>
      </c>
      <c r="AD87" s="110"/>
    </row>
    <row r="88" spans="1:30" x14ac:dyDescent="0.25">
      <c r="A88" s="173"/>
      <c r="B88" t="s">
        <v>195</v>
      </c>
      <c r="C88" s="11">
        <v>4</v>
      </c>
      <c r="D88" s="1">
        <f t="shared" si="8"/>
        <v>3</v>
      </c>
      <c r="E88" t="s">
        <v>196</v>
      </c>
      <c r="F88" t="s">
        <v>197</v>
      </c>
      <c r="Z88" s="156" t="s">
        <v>30</v>
      </c>
      <c r="AB88" s="166" t="s">
        <v>31</v>
      </c>
      <c r="AC88" s="50" t="s">
        <v>31</v>
      </c>
      <c r="AD88" s="110"/>
    </row>
    <row r="89" spans="1:30" x14ac:dyDescent="0.25">
      <c r="A89" s="173"/>
      <c r="B89" t="s">
        <v>210</v>
      </c>
      <c r="C89" s="11">
        <v>6</v>
      </c>
      <c r="D89" s="1">
        <f>COUNTIF(G89:AAA89,"✅")+COUNTIF(G89:AAA89,"✔️")</f>
        <v>2</v>
      </c>
      <c r="E89" t="s">
        <v>211</v>
      </c>
      <c r="F89" t="s">
        <v>212</v>
      </c>
      <c r="Z89" s="156" t="s">
        <v>30</v>
      </c>
      <c r="AA89" s="160" t="s">
        <v>31</v>
      </c>
      <c r="AB89" s="109"/>
    </row>
    <row r="90" spans="1:30" x14ac:dyDescent="0.25">
      <c r="A90" s="173"/>
      <c r="B90" t="s">
        <v>284</v>
      </c>
      <c r="C90" s="11">
        <v>6</v>
      </c>
      <c r="D90" s="1">
        <f>COUNTIF(G90:AAA90,"✅")+COUNTIF(G90:AAA90,"✔️")</f>
        <v>2</v>
      </c>
      <c r="E90" t="s">
        <v>285</v>
      </c>
      <c r="F90" t="s">
        <v>286</v>
      </c>
      <c r="Y90" s="83"/>
      <c r="Z90" s="156" t="s">
        <v>30</v>
      </c>
      <c r="AA90" s="160" t="s">
        <v>31</v>
      </c>
    </row>
    <row r="91" spans="1:30" x14ac:dyDescent="0.25">
      <c r="A91" s="173"/>
      <c r="B91" t="s">
        <v>213</v>
      </c>
      <c r="C91" s="11">
        <v>6</v>
      </c>
      <c r="D91" s="1">
        <f t="shared" si="8"/>
        <v>2</v>
      </c>
      <c r="E91" t="s">
        <v>214</v>
      </c>
      <c r="F91" t="s">
        <v>215</v>
      </c>
      <c r="AA91" s="160" t="s">
        <v>30</v>
      </c>
      <c r="AB91" s="109"/>
      <c r="AC91" s="53"/>
      <c r="AD91" s="167" t="s">
        <v>31</v>
      </c>
    </row>
    <row r="92" spans="1:30" x14ac:dyDescent="0.25">
      <c r="A92" s="173"/>
      <c r="B92" t="s">
        <v>216</v>
      </c>
      <c r="C92" s="11">
        <v>6</v>
      </c>
      <c r="D92" s="1">
        <f t="shared" si="8"/>
        <v>2</v>
      </c>
      <c r="E92" t="s">
        <v>217</v>
      </c>
      <c r="F92" t="s">
        <v>218</v>
      </c>
      <c r="AA92" s="160" t="s">
        <v>30</v>
      </c>
      <c r="AB92" s="109"/>
      <c r="AC92" s="53"/>
      <c r="AD92" s="167" t="s">
        <v>31</v>
      </c>
    </row>
    <row r="93" spans="1:30" x14ac:dyDescent="0.25">
      <c r="A93" s="173"/>
      <c r="B93" t="s">
        <v>219</v>
      </c>
      <c r="C93" s="11">
        <v>6</v>
      </c>
      <c r="D93" s="1">
        <f>COUNTIF(G93:AAA93,"✅")+COUNTIF(G93:AAA93,"✔️")</f>
        <v>2</v>
      </c>
      <c r="E93" t="s">
        <v>220</v>
      </c>
      <c r="F93" t="s">
        <v>221</v>
      </c>
      <c r="AA93" s="160" t="s">
        <v>30</v>
      </c>
      <c r="AB93" s="109"/>
      <c r="AC93" s="53"/>
      <c r="AD93" s="167" t="s">
        <v>31</v>
      </c>
    </row>
    <row r="94" spans="1:30" x14ac:dyDescent="0.25">
      <c r="A94" s="173"/>
      <c r="B94" t="s">
        <v>234</v>
      </c>
      <c r="C94" s="11">
        <v>6</v>
      </c>
      <c r="D94" s="1">
        <f>COUNTIF(G94:AAA94,"✅")+COUNTIF(G94:AAA94,"✔️")</f>
        <v>2</v>
      </c>
      <c r="E94" t="s">
        <v>235</v>
      </c>
      <c r="F94" t="s">
        <v>236</v>
      </c>
      <c r="Y94" s="83"/>
      <c r="AB94" s="166" t="s">
        <v>30</v>
      </c>
      <c r="AC94" s="50" t="s">
        <v>31</v>
      </c>
      <c r="AD94" s="110"/>
    </row>
    <row r="95" spans="1:30" x14ac:dyDescent="0.25">
      <c r="A95" s="173"/>
      <c r="B95" t="s">
        <v>177</v>
      </c>
      <c r="C95" s="11">
        <v>6</v>
      </c>
      <c r="D95" s="1">
        <f>COUNTIF(G95:AAA95,"✅")+COUNTIF(G95:AAA95,"✔️")</f>
        <v>2</v>
      </c>
      <c r="E95" t="s">
        <v>178</v>
      </c>
      <c r="F95" t="s">
        <v>179</v>
      </c>
      <c r="Y95" s="83"/>
      <c r="AB95" s="166" t="s">
        <v>30</v>
      </c>
      <c r="AC95" s="50" t="s">
        <v>31</v>
      </c>
      <c r="AD95" s="110"/>
    </row>
    <row r="96" spans="1:30" x14ac:dyDescent="0.25">
      <c r="A96" s="173"/>
      <c r="B96" t="s">
        <v>243</v>
      </c>
      <c r="C96" s="11">
        <v>4</v>
      </c>
      <c r="D96" s="1">
        <f>COUNTIF(G96:AAA96,"✅")+COUNTIF(G96:AAA96,"✔️")</f>
        <v>2</v>
      </c>
      <c r="E96" t="s">
        <v>244</v>
      </c>
      <c r="F96" t="s">
        <v>245</v>
      </c>
      <c r="Y96" s="83"/>
      <c r="Z96" s="51"/>
      <c r="AA96" s="51"/>
      <c r="AB96" s="166" t="s">
        <v>30</v>
      </c>
      <c r="AC96" s="50" t="s">
        <v>31</v>
      </c>
    </row>
    <row r="97" spans="1:30" x14ac:dyDescent="0.25">
      <c r="A97" s="173"/>
      <c r="B97" t="s">
        <v>279</v>
      </c>
      <c r="C97" s="11">
        <v>6</v>
      </c>
      <c r="D97" s="1">
        <f>COUNTIF(G97:AAA97,"✅")+COUNTIF(G97:AAA97,"✔️")</f>
        <v>3</v>
      </c>
      <c r="E97" t="s">
        <v>280</v>
      </c>
      <c r="F97" t="s">
        <v>203</v>
      </c>
      <c r="Y97" s="83"/>
      <c r="Z97" s="51"/>
      <c r="AB97" s="166" t="s">
        <v>30</v>
      </c>
      <c r="AC97" s="50" t="s">
        <v>31</v>
      </c>
      <c r="AD97" s="167" t="s">
        <v>31</v>
      </c>
    </row>
    <row r="98" spans="1:30" x14ac:dyDescent="0.25">
      <c r="A98" s="173"/>
      <c r="B98" t="s">
        <v>201</v>
      </c>
      <c r="C98" s="11">
        <v>6</v>
      </c>
      <c r="D98" s="1">
        <f>COUNTIF(G98:AAA98,"✅")+COUNTIF(G98:AAA98,"✔️")</f>
        <v>2</v>
      </c>
      <c r="E98" t="s">
        <v>202</v>
      </c>
      <c r="F98" t="s">
        <v>203</v>
      </c>
      <c r="Z98" s="51"/>
      <c r="AB98" s="109"/>
      <c r="AC98" s="50" t="s">
        <v>30</v>
      </c>
      <c r="AD98" s="167" t="s">
        <v>31</v>
      </c>
    </row>
    <row r="99" spans="1:30" s="8" customFormat="1" ht="5.25" customHeight="1" x14ac:dyDescent="0.25">
      <c r="C99" s="18"/>
      <c r="D99" s="10"/>
      <c r="G99" s="82"/>
      <c r="H99" s="64"/>
      <c r="I99" s="64"/>
      <c r="J99" s="82"/>
      <c r="K99" s="64"/>
      <c r="L99" s="64"/>
      <c r="M99" s="113"/>
      <c r="N99" s="55"/>
      <c r="O99" s="55"/>
      <c r="P99" s="113"/>
      <c r="Q99" s="55"/>
      <c r="R99" s="55"/>
      <c r="S99" s="113"/>
      <c r="T99" s="55"/>
      <c r="U99" s="55"/>
      <c r="V99" s="113"/>
      <c r="W99" s="55"/>
      <c r="X99" s="55"/>
      <c r="Y99" s="113"/>
      <c r="Z99" s="55"/>
      <c r="AA99" s="55"/>
      <c r="AB99" s="172"/>
      <c r="AC99" s="52"/>
      <c r="AD99" s="171"/>
    </row>
    <row r="100" spans="1:30" ht="15" customHeight="1" x14ac:dyDescent="0.25">
      <c r="A100" s="174" t="s">
        <v>783</v>
      </c>
      <c r="B100" t="s">
        <v>288</v>
      </c>
      <c r="C100" s="11">
        <v>6</v>
      </c>
      <c r="D100" s="1">
        <f>COUNTIF(G100:AAA100,"✅")+COUNTIF(G100:AAA100,"✔️")</f>
        <v>5</v>
      </c>
      <c r="E100" t="s">
        <v>289</v>
      </c>
      <c r="F100" t="s">
        <v>290</v>
      </c>
      <c r="Y100" s="159" t="s">
        <v>30</v>
      </c>
      <c r="Z100" s="156" t="s">
        <v>31</v>
      </c>
      <c r="AA100" s="160" t="s">
        <v>31</v>
      </c>
      <c r="AB100" s="166" t="s">
        <v>31</v>
      </c>
      <c r="AC100" s="50" t="s">
        <v>31</v>
      </c>
    </row>
    <row r="101" spans="1:30" x14ac:dyDescent="0.25">
      <c r="A101" s="174"/>
      <c r="B101" t="s">
        <v>291</v>
      </c>
      <c r="C101" s="11">
        <v>6</v>
      </c>
      <c r="D101" s="1">
        <f>COUNTIF(G101:AAA101,"✅")+COUNTIF(G101:AAA101,"✔️")</f>
        <v>3</v>
      </c>
      <c r="E101" t="s">
        <v>292</v>
      </c>
      <c r="F101" t="s">
        <v>293</v>
      </c>
      <c r="Y101" s="159" t="s">
        <v>30</v>
      </c>
      <c r="Z101" s="156" t="s">
        <v>31</v>
      </c>
      <c r="AA101" s="160" t="s">
        <v>31</v>
      </c>
    </row>
    <row r="102" spans="1:30" x14ac:dyDescent="0.25">
      <c r="A102" s="174"/>
      <c r="B102" t="s">
        <v>294</v>
      </c>
      <c r="C102" s="11">
        <v>6</v>
      </c>
      <c r="D102" s="1">
        <f>COUNTIF(G102:AAA102,"✅")+COUNTIF(G102:AAA102,"✔️")</f>
        <v>2</v>
      </c>
      <c r="E102" t="s">
        <v>295</v>
      </c>
      <c r="F102" t="s">
        <v>296</v>
      </c>
      <c r="Z102" s="156" t="s">
        <v>30</v>
      </c>
      <c r="AA102" s="160" t="s">
        <v>31</v>
      </c>
    </row>
    <row r="103" spans="1:30" x14ac:dyDescent="0.25">
      <c r="A103" s="174"/>
      <c r="B103" t="s">
        <v>297</v>
      </c>
      <c r="C103" s="11">
        <v>6</v>
      </c>
      <c r="D103" s="1">
        <f>COUNTIF(G103:AAA103,"✅")+COUNTIF(G103:AAA103,"✔️")</f>
        <v>3</v>
      </c>
      <c r="E103" t="s">
        <v>298</v>
      </c>
      <c r="F103" t="s">
        <v>299</v>
      </c>
      <c r="AB103" s="166" t="s">
        <v>30</v>
      </c>
      <c r="AC103" s="50" t="s">
        <v>31</v>
      </c>
      <c r="AD103" s="167" t="s">
        <v>31</v>
      </c>
    </row>
    <row r="104" spans="1:30" x14ac:dyDescent="0.25">
      <c r="A104" s="174"/>
      <c r="B104" t="s">
        <v>300</v>
      </c>
      <c r="C104" s="11">
        <v>6</v>
      </c>
      <c r="D104" s="1">
        <f>COUNTIF(G104:AAA104,"✅")+COUNTIF(G104:AAA104,"✔️")</f>
        <v>2</v>
      </c>
      <c r="E104" t="s">
        <v>301</v>
      </c>
      <c r="F104" t="s">
        <v>302</v>
      </c>
      <c r="AC104" s="50" t="s">
        <v>30</v>
      </c>
      <c r="AD104" s="167" t="s">
        <v>31</v>
      </c>
    </row>
    <row r="105" spans="1:30" x14ac:dyDescent="0.25">
      <c r="A105" s="174"/>
      <c r="B105" t="s">
        <v>303</v>
      </c>
      <c r="C105" s="11">
        <v>6</v>
      </c>
      <c r="D105" s="1">
        <f>COUNTIF(G105:AAA105,"✅")+COUNTIF(G105:AAA105,"✔️")</f>
        <v>2</v>
      </c>
      <c r="E105" t="s">
        <v>304</v>
      </c>
      <c r="F105" t="s">
        <v>305</v>
      </c>
      <c r="AC105" s="50" t="s">
        <v>30</v>
      </c>
      <c r="AD105" s="167" t="s">
        <v>31</v>
      </c>
    </row>
    <row r="106" spans="1:30" x14ac:dyDescent="0.25">
      <c r="A106" s="174"/>
      <c r="B106" t="s">
        <v>306</v>
      </c>
      <c r="C106" s="11">
        <v>6</v>
      </c>
      <c r="D106" s="1">
        <f>COUNTIF(G106:AAA106,"✅")+COUNTIF(G106:AAA106,"✔️")</f>
        <v>3</v>
      </c>
      <c r="E106" t="s">
        <v>307</v>
      </c>
      <c r="F106" t="s">
        <v>308</v>
      </c>
      <c r="AB106" s="166" t="s">
        <v>30</v>
      </c>
      <c r="AC106" s="50" t="s">
        <v>31</v>
      </c>
      <c r="AD106" s="167" t="s">
        <v>31</v>
      </c>
    </row>
    <row r="107" spans="1:30" x14ac:dyDescent="0.25">
      <c r="A107" s="174"/>
      <c r="B107" t="s">
        <v>309</v>
      </c>
      <c r="C107" s="11">
        <v>6</v>
      </c>
      <c r="D107" s="1">
        <f>COUNTIF(G107:AAA107,"✅")+COUNTIF(G107:AAA107,"✔️")</f>
        <v>2</v>
      </c>
      <c r="E107" t="s">
        <v>310</v>
      </c>
      <c r="F107" t="s">
        <v>311</v>
      </c>
      <c r="AC107" s="50" t="s">
        <v>30</v>
      </c>
      <c r="AD107" s="167" t="s">
        <v>31</v>
      </c>
    </row>
    <row r="108" spans="1:30" s="8" customFormat="1" ht="6.75" customHeight="1" x14ac:dyDescent="0.25">
      <c r="C108" s="18"/>
      <c r="D108" s="10"/>
      <c r="G108" s="82"/>
      <c r="H108" s="64"/>
      <c r="I108" s="64"/>
      <c r="J108" s="82"/>
      <c r="K108" s="64"/>
      <c r="L108" s="64"/>
      <c r="M108" s="113"/>
      <c r="N108" s="55"/>
      <c r="O108" s="55"/>
      <c r="P108" s="113"/>
      <c r="Q108" s="55"/>
      <c r="R108" s="55"/>
      <c r="S108" s="113"/>
      <c r="T108" s="55"/>
      <c r="U108" s="55"/>
      <c r="V108" s="113"/>
      <c r="W108" s="55"/>
      <c r="X108" s="55"/>
      <c r="Y108" s="113"/>
      <c r="Z108" s="55"/>
      <c r="AA108" s="55"/>
      <c r="AB108" s="172"/>
      <c r="AC108" s="52"/>
      <c r="AD108" s="171"/>
    </row>
    <row r="109" spans="1:30" x14ac:dyDescent="0.25">
      <c r="A109" s="41" t="s">
        <v>287</v>
      </c>
      <c r="B109" t="s">
        <v>784</v>
      </c>
      <c r="D109" s="1">
        <f t="shared" si="7"/>
        <v>0</v>
      </c>
      <c r="E109" t="s">
        <v>313</v>
      </c>
      <c r="F109" t="s">
        <v>314</v>
      </c>
    </row>
    <row r="110" spans="1:30" x14ac:dyDescent="0.25">
      <c r="A110" s="41"/>
      <c r="B110" t="s">
        <v>785</v>
      </c>
      <c r="D110" s="1">
        <f t="shared" si="7"/>
        <v>0</v>
      </c>
      <c r="E110" t="s">
        <v>316</v>
      </c>
      <c r="F110" t="s">
        <v>317</v>
      </c>
    </row>
    <row r="111" spans="1:30" x14ac:dyDescent="0.25">
      <c r="A111" s="41"/>
      <c r="B111" t="s">
        <v>786</v>
      </c>
      <c r="D111" s="1">
        <f t="shared" si="7"/>
        <v>0</v>
      </c>
      <c r="E111" t="s">
        <v>319</v>
      </c>
      <c r="F111" t="s">
        <v>320</v>
      </c>
    </row>
    <row r="112" spans="1:30" x14ac:dyDescent="0.25">
      <c r="A112" s="41"/>
      <c r="B112" t="s">
        <v>787</v>
      </c>
      <c r="D112" s="1">
        <f t="shared" si="7"/>
        <v>0</v>
      </c>
      <c r="E112" t="s">
        <v>322</v>
      </c>
      <c r="F112" t="s">
        <v>323</v>
      </c>
    </row>
    <row r="113" spans="1:27" x14ac:dyDescent="0.25">
      <c r="A113" s="41"/>
      <c r="B113" t="s">
        <v>788</v>
      </c>
      <c r="D113" s="1">
        <f t="shared" si="7"/>
        <v>0</v>
      </c>
      <c r="E113" t="s">
        <v>325</v>
      </c>
      <c r="F113" t="s">
        <v>326</v>
      </c>
    </row>
    <row r="114" spans="1:27" x14ac:dyDescent="0.25">
      <c r="A114" s="41"/>
      <c r="B114" t="s">
        <v>789</v>
      </c>
      <c r="D114" s="1">
        <f t="shared" si="7"/>
        <v>0</v>
      </c>
      <c r="E114" t="s">
        <v>328</v>
      </c>
      <c r="F114" t="s">
        <v>329</v>
      </c>
      <c r="G114" s="83"/>
      <c r="H114" s="51"/>
      <c r="I114" s="51"/>
      <c r="J114" s="83"/>
      <c r="K114" s="51"/>
      <c r="L114" s="51"/>
      <c r="M114" s="83"/>
      <c r="N114" s="51"/>
      <c r="O114" s="51"/>
      <c r="P114" s="83"/>
      <c r="Q114" s="51"/>
      <c r="R114" s="51"/>
      <c r="S114" s="83"/>
      <c r="T114" s="51"/>
      <c r="U114" s="51"/>
      <c r="V114" s="83"/>
      <c r="W114" s="51"/>
      <c r="X114" s="51"/>
      <c r="Y114" s="83"/>
      <c r="Z114" s="51"/>
      <c r="AA114" s="51"/>
    </row>
    <row r="115" spans="1:27" x14ac:dyDescent="0.25">
      <c r="A115" s="41"/>
      <c r="B115" t="s">
        <v>790</v>
      </c>
      <c r="D115" s="1">
        <f t="shared" si="7"/>
        <v>0</v>
      </c>
      <c r="E115" t="s">
        <v>331</v>
      </c>
      <c r="F115" t="s">
        <v>332</v>
      </c>
      <c r="G115" s="83"/>
      <c r="H115" s="51"/>
      <c r="I115" s="51"/>
      <c r="J115" s="83"/>
      <c r="K115" s="51"/>
      <c r="L115" s="51"/>
      <c r="M115" s="83"/>
      <c r="N115" s="51"/>
      <c r="O115" s="51"/>
      <c r="P115" s="83"/>
      <c r="Q115" s="51"/>
      <c r="R115" s="51"/>
      <c r="S115" s="83"/>
      <c r="T115" s="51"/>
      <c r="U115" s="51"/>
      <c r="V115" s="83"/>
      <c r="W115" s="51"/>
      <c r="X115" s="51"/>
      <c r="Y115" s="83"/>
      <c r="Z115" s="51"/>
      <c r="AA115" s="51"/>
    </row>
    <row r="116" spans="1:27" x14ac:dyDescent="0.25">
      <c r="A116" s="41"/>
      <c r="B116" t="s">
        <v>791</v>
      </c>
      <c r="D116" s="1">
        <f t="shared" si="7"/>
        <v>0</v>
      </c>
      <c r="E116" t="s">
        <v>334</v>
      </c>
      <c r="F116" t="s">
        <v>335</v>
      </c>
      <c r="G116" s="83"/>
      <c r="H116" s="51"/>
      <c r="I116" s="51"/>
      <c r="J116" s="83"/>
      <c r="K116" s="51"/>
      <c r="L116" s="51"/>
      <c r="M116" s="83"/>
      <c r="N116" s="51"/>
      <c r="O116" s="51"/>
      <c r="P116" s="83"/>
      <c r="Q116" s="51"/>
      <c r="R116" s="51"/>
      <c r="S116" s="83"/>
      <c r="T116" s="51"/>
      <c r="U116" s="51"/>
      <c r="V116" s="83"/>
      <c r="W116" s="51"/>
      <c r="X116" s="51"/>
      <c r="Y116" s="83"/>
      <c r="Z116" s="51"/>
      <c r="AA116" s="51"/>
    </row>
    <row r="117" spans="1:27" x14ac:dyDescent="0.25">
      <c r="A117" s="41"/>
      <c r="B117" t="s">
        <v>312</v>
      </c>
      <c r="D117" s="1">
        <f t="shared" si="7"/>
        <v>0</v>
      </c>
      <c r="F117" t="s">
        <v>336</v>
      </c>
      <c r="G117" s="83"/>
      <c r="H117" s="51"/>
      <c r="I117" s="51"/>
      <c r="J117" s="83"/>
      <c r="K117" s="51"/>
      <c r="L117" s="51"/>
      <c r="M117" s="83"/>
      <c r="N117" s="51"/>
      <c r="O117" s="51"/>
      <c r="P117" s="83"/>
      <c r="Q117" s="51"/>
      <c r="R117" s="51"/>
      <c r="S117" s="83"/>
      <c r="T117" s="51"/>
      <c r="U117" s="51"/>
      <c r="V117" s="83"/>
      <c r="W117" s="51"/>
      <c r="X117" s="51"/>
      <c r="Y117" s="83"/>
      <c r="Z117" s="51"/>
      <c r="AA117" s="51"/>
    </row>
    <row r="118" spans="1:27" x14ac:dyDescent="0.25">
      <c r="A118" s="41"/>
      <c r="B118" t="s">
        <v>315</v>
      </c>
      <c r="D118" s="1">
        <f t="shared" si="7"/>
        <v>0</v>
      </c>
      <c r="E118" t="s">
        <v>337</v>
      </c>
      <c r="F118" t="s">
        <v>338</v>
      </c>
      <c r="G118" s="83"/>
      <c r="H118" s="51"/>
      <c r="I118" s="51"/>
      <c r="J118" s="83"/>
      <c r="K118" s="51"/>
      <c r="L118" s="51"/>
      <c r="M118" s="83"/>
      <c r="N118" s="51"/>
      <c r="O118" s="51"/>
      <c r="P118" s="83"/>
      <c r="Q118" s="51"/>
      <c r="R118" s="51"/>
      <c r="S118" s="83"/>
      <c r="T118" s="51"/>
      <c r="U118" s="51"/>
      <c r="V118" s="83"/>
      <c r="W118" s="51"/>
      <c r="X118" s="51"/>
      <c r="Y118" s="83"/>
      <c r="Z118" s="51"/>
      <c r="AA118" s="51"/>
    </row>
    <row r="119" spans="1:27" x14ac:dyDescent="0.25">
      <c r="A119" s="41"/>
      <c r="B119" t="s">
        <v>318</v>
      </c>
      <c r="D119" s="1">
        <f t="shared" si="7"/>
        <v>0</v>
      </c>
      <c r="F119" t="s">
        <v>339</v>
      </c>
      <c r="G119" s="83"/>
      <c r="H119" s="51"/>
      <c r="I119" s="51"/>
      <c r="J119" s="83"/>
      <c r="K119" s="51"/>
      <c r="L119" s="51"/>
      <c r="M119" s="83"/>
      <c r="N119" s="51"/>
      <c r="O119" s="51"/>
      <c r="P119" s="83"/>
      <c r="Q119" s="51"/>
      <c r="R119" s="51"/>
      <c r="S119" s="83"/>
      <c r="T119" s="51"/>
      <c r="U119" s="51"/>
      <c r="V119" s="83"/>
      <c r="W119" s="51"/>
      <c r="X119" s="51"/>
      <c r="Y119" s="83"/>
      <c r="Z119" s="51"/>
      <c r="AA119" s="51"/>
    </row>
    <row r="120" spans="1:27" x14ac:dyDescent="0.25">
      <c r="A120" s="41"/>
      <c r="B120" t="s">
        <v>321</v>
      </c>
      <c r="D120" s="1">
        <f t="shared" si="7"/>
        <v>0</v>
      </c>
      <c r="F120" t="s">
        <v>340</v>
      </c>
      <c r="G120" s="83"/>
      <c r="H120" s="51"/>
      <c r="I120" s="51"/>
      <c r="J120" s="83"/>
      <c r="K120" s="51"/>
      <c r="L120" s="51"/>
      <c r="M120" s="83"/>
      <c r="N120" s="51"/>
      <c r="O120" s="51"/>
      <c r="P120" s="83"/>
      <c r="Q120" s="51"/>
      <c r="R120" s="51"/>
      <c r="S120" s="83"/>
      <c r="T120" s="51"/>
      <c r="U120" s="51"/>
      <c r="V120" s="83"/>
      <c r="W120" s="51"/>
      <c r="X120" s="51"/>
      <c r="Y120" s="83"/>
      <c r="Z120" s="51"/>
      <c r="AA120" s="51"/>
    </row>
    <row r="121" spans="1:27" x14ac:dyDescent="0.25">
      <c r="A121" s="41"/>
      <c r="B121" t="s">
        <v>324</v>
      </c>
      <c r="D121" s="1">
        <f t="shared" si="7"/>
        <v>0</v>
      </c>
      <c r="F121" t="s">
        <v>341</v>
      </c>
      <c r="G121" s="83"/>
      <c r="H121" s="51"/>
      <c r="I121" s="51"/>
      <c r="J121" s="83"/>
      <c r="K121" s="51"/>
      <c r="L121" s="51"/>
      <c r="M121" s="83"/>
      <c r="N121" s="51"/>
      <c r="O121" s="51"/>
      <c r="P121" s="83"/>
      <c r="Q121" s="51"/>
      <c r="R121" s="51"/>
      <c r="S121" s="83"/>
      <c r="T121" s="51"/>
      <c r="U121" s="51"/>
      <c r="V121" s="83"/>
      <c r="W121" s="51"/>
      <c r="X121" s="51"/>
      <c r="Y121" s="83"/>
      <c r="Z121" s="51"/>
      <c r="AA121" s="51"/>
    </row>
    <row r="122" spans="1:27" x14ac:dyDescent="0.25">
      <c r="A122" s="41"/>
      <c r="B122" t="s">
        <v>327</v>
      </c>
      <c r="D122" s="1">
        <f t="shared" si="7"/>
        <v>0</v>
      </c>
      <c r="F122" t="s">
        <v>342</v>
      </c>
      <c r="G122" s="83"/>
      <c r="H122" s="51"/>
      <c r="I122" s="51"/>
      <c r="J122" s="83"/>
      <c r="K122" s="51"/>
      <c r="L122" s="51"/>
      <c r="M122" s="83"/>
      <c r="N122" s="51"/>
      <c r="O122" s="51"/>
      <c r="P122" s="83"/>
      <c r="Q122" s="51"/>
      <c r="R122" s="51"/>
      <c r="S122" s="83"/>
      <c r="T122" s="51"/>
      <c r="U122" s="51"/>
      <c r="V122" s="83"/>
      <c r="W122" s="51"/>
      <c r="X122" s="51"/>
      <c r="Y122" s="83"/>
      <c r="Z122" s="51"/>
      <c r="AA122" s="51"/>
    </row>
    <row r="123" spans="1:27" x14ac:dyDescent="0.25">
      <c r="A123" s="41"/>
      <c r="B123" t="s">
        <v>330</v>
      </c>
      <c r="D123" s="1">
        <f t="shared" si="7"/>
        <v>0</v>
      </c>
      <c r="E123" t="s">
        <v>343</v>
      </c>
      <c r="F123" t="s">
        <v>344</v>
      </c>
      <c r="G123" s="83"/>
      <c r="H123" s="51"/>
      <c r="I123" s="51"/>
      <c r="J123" s="83"/>
      <c r="K123" s="51"/>
      <c r="L123" s="51"/>
      <c r="M123" s="83"/>
      <c r="N123" s="51"/>
      <c r="O123" s="51"/>
      <c r="P123" s="83"/>
      <c r="Q123" s="51"/>
      <c r="R123" s="51"/>
      <c r="S123" s="83"/>
      <c r="T123" s="51"/>
      <c r="U123" s="51"/>
      <c r="V123" s="83"/>
      <c r="W123" s="51"/>
      <c r="X123" s="51"/>
      <c r="Y123" s="83"/>
      <c r="Z123" s="51"/>
      <c r="AA123" s="51"/>
    </row>
    <row r="124" spans="1:27" x14ac:dyDescent="0.25">
      <c r="A124" s="41"/>
      <c r="B124" t="s">
        <v>333</v>
      </c>
      <c r="D124" s="1">
        <f t="shared" si="7"/>
        <v>0</v>
      </c>
      <c r="F124" t="s">
        <v>345</v>
      </c>
      <c r="G124" s="83"/>
      <c r="H124" s="51"/>
      <c r="I124" s="51"/>
      <c r="J124" s="83"/>
      <c r="K124" s="51"/>
      <c r="L124" s="51"/>
      <c r="M124" s="83"/>
      <c r="N124" s="51"/>
      <c r="O124" s="51"/>
      <c r="P124" s="83"/>
      <c r="Q124" s="51"/>
      <c r="R124" s="51"/>
      <c r="S124" s="83"/>
      <c r="T124" s="51"/>
      <c r="U124" s="51"/>
      <c r="V124" s="83"/>
      <c r="W124" s="51"/>
      <c r="X124" s="51"/>
      <c r="Y124" s="83"/>
      <c r="Z124" s="51"/>
      <c r="AA124" s="51"/>
    </row>
  </sheetData>
  <mergeCells count="34">
    <mergeCell ref="A55:A98"/>
    <mergeCell ref="A100:A107"/>
    <mergeCell ref="A109:A124"/>
    <mergeCell ref="AE1:AG1"/>
    <mergeCell ref="AE8:AG8"/>
    <mergeCell ref="J8:L8"/>
    <mergeCell ref="G9:R9"/>
    <mergeCell ref="D10:F10"/>
    <mergeCell ref="J1:L1"/>
    <mergeCell ref="P1:R1"/>
    <mergeCell ref="D6:F6"/>
    <mergeCell ref="G8:I8"/>
    <mergeCell ref="M1:O1"/>
    <mergeCell ref="G10:AD10"/>
    <mergeCell ref="S9:AD9"/>
    <mergeCell ref="AB1:AD1"/>
    <mergeCell ref="AB8:AD8"/>
    <mergeCell ref="D4:F4"/>
    <mergeCell ref="D3:F3"/>
    <mergeCell ref="D9:F9"/>
    <mergeCell ref="Y1:AA1"/>
    <mergeCell ref="B3:B4"/>
    <mergeCell ref="A12:A53"/>
    <mergeCell ref="D7:F7"/>
    <mergeCell ref="G1:I1"/>
    <mergeCell ref="S1:U1"/>
    <mergeCell ref="V1:X1"/>
    <mergeCell ref="Y8:AA8"/>
    <mergeCell ref="M8:O8"/>
    <mergeCell ref="D8:F8"/>
    <mergeCell ref="B6:B7"/>
    <mergeCell ref="V8:X8"/>
    <mergeCell ref="S8:U8"/>
    <mergeCell ref="P8:R8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26</v>
      </c>
      <c r="B1" s="2" t="s">
        <v>346</v>
      </c>
    </row>
    <row r="2" spans="1:2" x14ac:dyDescent="0.25">
      <c r="A2" t="s">
        <v>347</v>
      </c>
      <c r="B2" t="str">
        <f>_xlfn.XLOOKUP(A2, opponents_table!F:F, opponents_table!B:B, "", 0)</f>
        <v/>
      </c>
    </row>
    <row r="3" spans="1:2" x14ac:dyDescent="0.25">
      <c r="A3" t="s">
        <v>348</v>
      </c>
      <c r="B3" t="str">
        <f>_xlfn.XLOOKUP(A3, opponents_table!F:F, opponents_table!B:B, "", 0)</f>
        <v>Fossil Expert Jonathan</v>
      </c>
    </row>
    <row r="4" spans="1:2" x14ac:dyDescent="0.25">
      <c r="A4" t="s">
        <v>349</v>
      </c>
      <c r="B4" t="str">
        <f>_xlfn.XLOOKUP(A4, opponents_table!F:F, opponents_table!B:B, "", 0)</f>
        <v/>
      </c>
    </row>
    <row r="5" spans="1:2" x14ac:dyDescent="0.25">
      <c r="A5" t="s">
        <v>350</v>
      </c>
      <c r="B5" t="str">
        <f>_xlfn.XLOOKUP(A5, opponents_table!F:F, opponents_table!B:B, "", 0)</f>
        <v>Psychic Nova</v>
      </c>
    </row>
    <row r="6" spans="1:2" x14ac:dyDescent="0.25">
      <c r="A6" t="s">
        <v>351</v>
      </c>
      <c r="B6" t="str">
        <f>_xlfn.XLOOKUP(A6, opponents_table!F:F, opponents_table!B:B, "", 0)</f>
        <v/>
      </c>
    </row>
    <row r="7" spans="1:2" x14ac:dyDescent="0.25">
      <c r="A7" t="s">
        <v>352</v>
      </c>
      <c r="B7" t="str">
        <f>_xlfn.XLOOKUP(A7, opponents_table!F:F, opponents_table!B:B, "", 0)</f>
        <v/>
      </c>
    </row>
    <row r="8" spans="1:2" x14ac:dyDescent="0.25">
      <c r="A8" t="s">
        <v>353</v>
      </c>
      <c r="B8" t="str">
        <f>_xlfn.XLOOKUP(A8, opponents_table!F:F, opponents_table!B:B, "", 0)</f>
        <v>Rocket Exec Petrel</v>
      </c>
    </row>
    <row r="9" spans="1:2" x14ac:dyDescent="0.25">
      <c r="A9" t="s">
        <v>354</v>
      </c>
      <c r="B9" t="str">
        <f>_xlfn.XLOOKUP(A9, opponents_table!F:F, opponents_table!B:B, "", 0)</f>
        <v/>
      </c>
    </row>
    <row r="10" spans="1:2" x14ac:dyDescent="0.25">
      <c r="A10" t="s">
        <v>355</v>
      </c>
      <c r="B10" t="str">
        <f>_xlfn.XLOOKUP(A10, opponents_table!F:F, opponents_table!B:B, "", 0)</f>
        <v/>
      </c>
    </row>
    <row r="11" spans="1:2" x14ac:dyDescent="0.25">
      <c r="A11" t="s">
        <v>356</v>
      </c>
      <c r="B11" t="str">
        <f>_xlfn.XLOOKUP(A11, opponents_table!F:F, opponents_table!B:B, "", 0)</f>
        <v/>
      </c>
    </row>
    <row r="12" spans="1:2" x14ac:dyDescent="0.25">
      <c r="A12" t="s">
        <v>357</v>
      </c>
      <c r="B12" t="str">
        <f>_xlfn.XLOOKUP(A12, opponents_table!F:F, opponents_table!B:B, "", 0)</f>
        <v/>
      </c>
    </row>
    <row r="13" spans="1:2" x14ac:dyDescent="0.25">
      <c r="A13" t="s">
        <v>358</v>
      </c>
      <c r="B13" t="str">
        <f>_xlfn.XLOOKUP(A13, opponents_table!F:F, opponents_table!B:B, "", 0)</f>
        <v/>
      </c>
    </row>
    <row r="14" spans="1:2" x14ac:dyDescent="0.25">
      <c r="A14" t="s">
        <v>359</v>
      </c>
      <c r="B14" t="str">
        <f>_xlfn.XLOOKUP(A14, opponents_table!F:F, opponents_table!B:B, "", 0)</f>
        <v/>
      </c>
    </row>
    <row r="15" spans="1:2" x14ac:dyDescent="0.25">
      <c r="A15" t="s">
        <v>360</v>
      </c>
      <c r="B15" t="str">
        <f>_xlfn.XLOOKUP(A15, opponents_table!F:F, opponents_table!B:B, "", 0)</f>
        <v>Young Twin Nella</v>
      </c>
    </row>
    <row r="16" spans="1:2" x14ac:dyDescent="0.25">
      <c r="A16" t="s">
        <v>361</v>
      </c>
      <c r="B16" t="str">
        <f>_xlfn.XLOOKUP(A16, opponents_table!F:F, opponents_table!B:B, "", 0)</f>
        <v>Aromagirl Penelope</v>
      </c>
    </row>
    <row r="17" spans="1:2" x14ac:dyDescent="0.25">
      <c r="A17" t="s">
        <v>362</v>
      </c>
      <c r="B17" t="str">
        <f>_xlfn.XLOOKUP(A17, opponents_table!F:F, opponents_table!B:B, "", 0)</f>
        <v>Card Elder Rayne</v>
      </c>
    </row>
    <row r="18" spans="1:2" x14ac:dyDescent="0.25">
      <c r="A18" t="s">
        <v>363</v>
      </c>
      <c r="B18" t="str">
        <f>_xlfn.XLOOKUP(A18, opponents_table!F:F, opponents_table!B:B, "", 0)</f>
        <v>Swimmer Bibi</v>
      </c>
    </row>
    <row r="19" spans="1:2" x14ac:dyDescent="0.25">
      <c r="A19" t="s">
        <v>364</v>
      </c>
      <c r="B19" t="str">
        <f>_xlfn.XLOOKUP(A19, opponents_table!F:F, opponents_table!B:B, "", 0)</f>
        <v/>
      </c>
    </row>
    <row r="20" spans="1:2" x14ac:dyDescent="0.25">
      <c r="A20" t="s">
        <v>365</v>
      </c>
      <c r="B20" t="str">
        <f>_xlfn.XLOOKUP(A20, opponents_table!F:F, opponents_table!B:B, "", 0)</f>
        <v>Rocket Exec Archer</v>
      </c>
    </row>
    <row r="21" spans="1:2" x14ac:dyDescent="0.25">
      <c r="A21" t="s">
        <v>366</v>
      </c>
      <c r="B21" t="str">
        <f>_xlfn.XLOOKUP(A21, opponents_table!F:F, opponents_table!B:B, "", 0)</f>
        <v/>
      </c>
    </row>
    <row r="22" spans="1:2" x14ac:dyDescent="0.25">
      <c r="A22" t="s">
        <v>367</v>
      </c>
      <c r="B22" t="str">
        <f>_xlfn.XLOOKUP(A22, opponents_table!F:F, opponents_table!B:B, "", 0)</f>
        <v/>
      </c>
    </row>
    <row r="23" spans="1:2" x14ac:dyDescent="0.25">
      <c r="A23" t="s">
        <v>368</v>
      </c>
      <c r="B23" t="str">
        <f>_xlfn.XLOOKUP(A23, opponents_table!F:F, opponents_table!B:B, "", 0)</f>
        <v/>
      </c>
    </row>
    <row r="24" spans="1:2" x14ac:dyDescent="0.25">
      <c r="A24" t="s">
        <v>369</v>
      </c>
      <c r="B24" t="str">
        <f>_xlfn.XLOOKUP(A24, opponents_table!F:F, opponents_table!B:B, "", 0)</f>
        <v/>
      </c>
    </row>
    <row r="25" spans="1:2" x14ac:dyDescent="0.25">
      <c r="A25" t="s">
        <v>370</v>
      </c>
      <c r="B25" t="str">
        <f>_xlfn.XLOOKUP(A25, opponents_table!F:F, opponents_table!B:B, "", 0)</f>
        <v/>
      </c>
    </row>
    <row r="26" spans="1:2" x14ac:dyDescent="0.25">
      <c r="A26" t="s">
        <v>371</v>
      </c>
      <c r="B26" t="str">
        <f>_xlfn.XLOOKUP(A26, opponents_table!F:F, opponents_table!B:B, "", 0)</f>
        <v>Gardener Callum</v>
      </c>
    </row>
    <row r="27" spans="1:2" x14ac:dyDescent="0.25">
      <c r="A27" t="s">
        <v>372</v>
      </c>
      <c r="B27" t="str">
        <f>_xlfn.XLOOKUP(A27, opponents_table!F:F, opponents_table!B:B, "", 0)</f>
        <v>Young Twin Anna</v>
      </c>
    </row>
    <row r="28" spans="1:2" x14ac:dyDescent="0.25">
      <c r="A28" t="s">
        <v>373</v>
      </c>
      <c r="B28" t="str">
        <f>_xlfn.XLOOKUP(A28, opponents_table!F:F, opponents_table!B:B, "", 0)</f>
        <v>Bug Catcher Alex</v>
      </c>
    </row>
    <row r="29" spans="1:2" x14ac:dyDescent="0.25">
      <c r="A29" t="s">
        <v>374</v>
      </c>
      <c r="B29" t="str">
        <f>_xlfn.XLOOKUP(A29, opponents_table!F:F, opponents_table!B:B, "", 0)</f>
        <v/>
      </c>
    </row>
    <row r="30" spans="1:2" x14ac:dyDescent="0.25">
      <c r="A30" t="s">
        <v>375</v>
      </c>
      <c r="B30" t="str">
        <f>_xlfn.XLOOKUP(A30, opponents_table!F:F, opponents_table!B:B, "", 0)</f>
        <v/>
      </c>
    </row>
    <row r="31" spans="1:2" x14ac:dyDescent="0.25">
      <c r="A31" t="s">
        <v>376</v>
      </c>
      <c r="B31" t="str">
        <f>_xlfn.XLOOKUP(A31, opponents_table!F:F, opponents_table!B:B, "", 0)</f>
        <v/>
      </c>
    </row>
    <row r="32" spans="1:2" x14ac:dyDescent="0.25">
      <c r="A32" t="s">
        <v>377</v>
      </c>
      <c r="B32" t="str">
        <f>_xlfn.XLOOKUP(A32, opponents_table!F:F, opponents_table!B:B, "", 0)</f>
        <v/>
      </c>
    </row>
    <row r="33" spans="1:2" x14ac:dyDescent="0.25">
      <c r="A33" t="s">
        <v>378</v>
      </c>
      <c r="B33" t="str">
        <f>_xlfn.XLOOKUP(A33, opponents_table!F:F, opponents_table!B:B, "", 0)</f>
        <v/>
      </c>
    </row>
    <row r="34" spans="1:2" x14ac:dyDescent="0.25">
      <c r="A34" t="s">
        <v>379</v>
      </c>
      <c r="B34" t="str">
        <f>_xlfn.XLOOKUP(A34, opponents_table!F:F, opponents_table!B:B, "", 0)</f>
        <v/>
      </c>
    </row>
    <row r="35" spans="1:2" x14ac:dyDescent="0.25">
      <c r="A35" t="s">
        <v>380</v>
      </c>
      <c r="B35" t="str">
        <f>_xlfn.XLOOKUP(A35, opponents_table!F:F, opponents_table!B:B, "", 0)</f>
        <v/>
      </c>
    </row>
    <row r="36" spans="1:2" x14ac:dyDescent="0.25">
      <c r="A36" t="s">
        <v>381</v>
      </c>
      <c r="B36" t="str">
        <f>_xlfn.XLOOKUP(A36, opponents_table!F:F, opponents_table!B:B, "", 0)</f>
        <v>Card Expert Nathan</v>
      </c>
    </row>
    <row r="37" spans="1:2" x14ac:dyDescent="0.25">
      <c r="A37" t="s">
        <v>382</v>
      </c>
      <c r="B37" t="str">
        <f>_xlfn.XLOOKUP(A37, opponents_table!F:F, opponents_table!B:B, "", 0)</f>
        <v>Shady Character Bernard</v>
      </c>
    </row>
    <row r="38" spans="1:2" x14ac:dyDescent="0.25">
      <c r="A38" t="s">
        <v>383</v>
      </c>
      <c r="B38" t="str">
        <f>_xlfn.XLOOKUP(A38, opponents_table!F:F, opponents_table!B:B, "", 0)</f>
        <v/>
      </c>
    </row>
    <row r="39" spans="1:2" x14ac:dyDescent="0.25">
      <c r="A39" t="s">
        <v>384</v>
      </c>
      <c r="B39" t="str">
        <f>_xlfn.XLOOKUP(A39, opponents_table!F:F, opponents_table!B:B, "", 0)</f>
        <v/>
      </c>
    </row>
    <row r="40" spans="1:2" x14ac:dyDescent="0.25">
      <c r="A40" t="s">
        <v>385</v>
      </c>
      <c r="B40" t="str">
        <f>_xlfn.XLOOKUP(A40, opponents_table!F:F, opponents_table!B:B, "", 0)</f>
        <v/>
      </c>
    </row>
    <row r="41" spans="1:2" x14ac:dyDescent="0.25">
      <c r="A41" t="s">
        <v>386</v>
      </c>
      <c r="B41" t="str">
        <f>_xlfn.XLOOKUP(A41, opponents_table!F:F, opponents_table!B:B, "", 0)</f>
        <v/>
      </c>
    </row>
    <row r="42" spans="1:2" x14ac:dyDescent="0.25">
      <c r="A42" t="s">
        <v>387</v>
      </c>
      <c r="B42" t="str">
        <f>_xlfn.XLOOKUP(A42, opponents_table!F:F, opponents_table!B:B, "", 0)</f>
        <v/>
      </c>
    </row>
    <row r="43" spans="1:2" x14ac:dyDescent="0.25">
      <c r="A43" t="s">
        <v>388</v>
      </c>
      <c r="B43" t="str">
        <f>_xlfn.XLOOKUP(A43, opponents_table!F:F, opponents_table!B:B, "", 0)</f>
        <v/>
      </c>
    </row>
    <row r="44" spans="1:2" x14ac:dyDescent="0.25">
      <c r="A44" t="s">
        <v>389</v>
      </c>
      <c r="B44" t="str">
        <f>_xlfn.XLOOKUP(A44, opponents_table!F:F, opponents_table!B:B, "", 0)</f>
        <v>Card Expert Ruby</v>
      </c>
    </row>
    <row r="45" spans="1:2" x14ac:dyDescent="0.25">
      <c r="A45" t="s">
        <v>390</v>
      </c>
      <c r="B45" t="str">
        <f>_xlfn.XLOOKUP(A45, opponents_table!F:F, opponents_table!B:B, "", 0)</f>
        <v/>
      </c>
    </row>
    <row r="46" spans="1:2" x14ac:dyDescent="0.25">
      <c r="A46" t="s">
        <v>391</v>
      </c>
      <c r="B46" t="str">
        <f>_xlfn.XLOOKUP(A46, opponents_table!F:F, opponents_table!B:B, "", 0)</f>
        <v/>
      </c>
    </row>
    <row r="47" spans="1:2" x14ac:dyDescent="0.25">
      <c r="A47" t="s">
        <v>392</v>
      </c>
      <c r="B47" t="str">
        <f>_xlfn.XLOOKUP(A47, opponents_table!F:F, opponents_table!B:B, "", 0)</f>
        <v/>
      </c>
    </row>
    <row r="48" spans="1:2" x14ac:dyDescent="0.25">
      <c r="A48" t="s">
        <v>393</v>
      </c>
      <c r="B48" t="str">
        <f>_xlfn.XLOOKUP(A48, opponents_table!F:F, opponents_table!B:B, "", 0)</f>
        <v/>
      </c>
    </row>
    <row r="49" spans="1:2" x14ac:dyDescent="0.25">
      <c r="A49" t="s">
        <v>394</v>
      </c>
      <c r="B49" t="str">
        <f>_xlfn.XLOOKUP(A49, opponents_table!F:F, opponents_table!B:B, "", 0)</f>
        <v/>
      </c>
    </row>
    <row r="50" spans="1:2" x14ac:dyDescent="0.25">
      <c r="A50" t="s">
        <v>395</v>
      </c>
      <c r="B50" t="str">
        <f>_xlfn.XLOOKUP(A50, opponents_table!F:F, opponents_table!B:B, "", 0)</f>
        <v/>
      </c>
    </row>
    <row r="51" spans="1:2" x14ac:dyDescent="0.25">
      <c r="A51" t="s">
        <v>396</v>
      </c>
      <c r="B51" t="str">
        <f>_xlfn.XLOOKUP(A51, opponents_table!F:F, opponents_table!B:B, "", 0)</f>
        <v>Tourist Alissa</v>
      </c>
    </row>
    <row r="52" spans="1:2" x14ac:dyDescent="0.25">
      <c r="A52" t="s">
        <v>397</v>
      </c>
      <c r="B52" t="str">
        <f>_xlfn.XLOOKUP(A52, opponents_table!F:F, opponents_table!B:B, "", 0)</f>
        <v/>
      </c>
    </row>
    <row r="53" spans="1:2" x14ac:dyDescent="0.25">
      <c r="A53" t="s">
        <v>398</v>
      </c>
      <c r="B53" t="str">
        <f>_xlfn.XLOOKUP(A53, opponents_table!F:F, opponents_table!B:B, "", 0)</f>
        <v/>
      </c>
    </row>
    <row r="54" spans="1:2" x14ac:dyDescent="0.25">
      <c r="A54" t="s">
        <v>399</v>
      </c>
      <c r="B54" t="str">
        <f>_xlfn.XLOOKUP(A54, opponents_table!F:F, opponents_table!B:B, "", 0)</f>
        <v/>
      </c>
    </row>
    <row r="55" spans="1:2" x14ac:dyDescent="0.25">
      <c r="A55" t="s">
        <v>400</v>
      </c>
      <c r="B55" t="str">
        <f>_xlfn.XLOOKUP(A55, opponents_table!F:F, opponents_table!B:B, "", 0)</f>
        <v/>
      </c>
    </row>
    <row r="56" spans="1:2" x14ac:dyDescent="0.25">
      <c r="A56" t="s">
        <v>401</v>
      </c>
      <c r="B56" t="str">
        <f>_xlfn.XLOOKUP(A56, opponents_table!F:F, opponents_table!B:B, "", 0)</f>
        <v/>
      </c>
    </row>
    <row r="57" spans="1:2" x14ac:dyDescent="0.25">
      <c r="A57" t="s">
        <v>402</v>
      </c>
      <c r="B57" t="str">
        <f>_xlfn.XLOOKUP(A57, opponents_table!F:F, opponents_table!B:B, "", 0)</f>
        <v>Old Traveller Cliff</v>
      </c>
    </row>
    <row r="58" spans="1:2" x14ac:dyDescent="0.25">
      <c r="A58" t="s">
        <v>403</v>
      </c>
      <c r="B58" t="str">
        <f>_xlfn.XLOOKUP(A58, opponents_table!F:F, opponents_table!B:B, "", 0)</f>
        <v/>
      </c>
    </row>
    <row r="59" spans="1:2" x14ac:dyDescent="0.25">
      <c r="A59" t="s">
        <v>404</v>
      </c>
      <c r="B59" t="str">
        <f>_xlfn.XLOOKUP(A59, opponents_table!F:F, opponents_table!B:B, "", 0)</f>
        <v/>
      </c>
    </row>
    <row r="60" spans="1:2" x14ac:dyDescent="0.25">
      <c r="A60" t="s">
        <v>405</v>
      </c>
      <c r="B60" t="str">
        <f>_xlfn.XLOOKUP(A60, opponents_table!F:F, opponents_table!B:B, "", 0)</f>
        <v/>
      </c>
    </row>
    <row r="61" spans="1:2" x14ac:dyDescent="0.25">
      <c r="A61" t="s">
        <v>406</v>
      </c>
      <c r="B61" t="str">
        <f>_xlfn.XLOOKUP(A61, opponents_table!F:F, opponents_table!B:B, "", 0)</f>
        <v/>
      </c>
    </row>
    <row r="62" spans="1:2" x14ac:dyDescent="0.25">
      <c r="A62" t="s">
        <v>407</v>
      </c>
      <c r="B62" t="str">
        <f>_xlfn.XLOOKUP(A62, opponents_table!F:F, opponents_table!B:B, "", 0)</f>
        <v/>
      </c>
    </row>
    <row r="63" spans="1:2" x14ac:dyDescent="0.25">
      <c r="A63" t="s">
        <v>408</v>
      </c>
      <c r="B63" t="str">
        <f>_xlfn.XLOOKUP(A63, opponents_table!F:F, opponents_table!B:B, "", 0)</f>
        <v/>
      </c>
    </row>
    <row r="64" spans="1:2" x14ac:dyDescent="0.25">
      <c r="A64" t="s">
        <v>409</v>
      </c>
      <c r="B64" t="str">
        <f>_xlfn.XLOOKUP(A64, opponents_table!F:F, opponents_table!B:B, "", 0)</f>
        <v/>
      </c>
    </row>
    <row r="65" spans="1:2" x14ac:dyDescent="0.25">
      <c r="A65" t="s">
        <v>410</v>
      </c>
      <c r="B65" t="str">
        <f>_xlfn.XLOOKUP(A65, opponents_table!F:F, opponents_table!B:B, "", 0)</f>
        <v/>
      </c>
    </row>
    <row r="66" spans="1:2" x14ac:dyDescent="0.25">
      <c r="A66" t="s">
        <v>411</v>
      </c>
      <c r="B66" t="str">
        <f>_xlfn.XLOOKUP(A66, opponents_table!F:F, opponents_table!B:B, "", 0)</f>
        <v>Swimmer Melissa</v>
      </c>
    </row>
    <row r="67" spans="1:2" x14ac:dyDescent="0.25">
      <c r="A67" t="s">
        <v>412</v>
      </c>
      <c r="B67" t="str">
        <f>_xlfn.XLOOKUP(A67, opponents_table!F:F, opponents_table!B:B, "", 0)</f>
        <v/>
      </c>
    </row>
    <row r="68" spans="1:2" x14ac:dyDescent="0.25">
      <c r="A68" t="s">
        <v>413</v>
      </c>
      <c r="B68" t="str">
        <f>_xlfn.XLOOKUP(A68, opponents_table!F:F, opponents_table!B:B, "", 0)</f>
        <v/>
      </c>
    </row>
    <row r="69" spans="1:2" x14ac:dyDescent="0.25">
      <c r="A69" t="s">
        <v>414</v>
      </c>
      <c r="B69" t="str">
        <f>_xlfn.XLOOKUP(A69, opponents_table!F:F, opponents_table!B:B, "", 0)</f>
        <v/>
      </c>
    </row>
    <row r="70" spans="1:2" x14ac:dyDescent="0.25">
      <c r="A70" t="s">
        <v>415</v>
      </c>
      <c r="B70" t="str">
        <f>_xlfn.XLOOKUP(A70, opponents_table!F:F, opponents_table!B:B, "", 0)</f>
        <v>Beach Kid Timothy</v>
      </c>
    </row>
    <row r="71" spans="1:2" x14ac:dyDescent="0.25">
      <c r="A71" t="s">
        <v>416</v>
      </c>
      <c r="B71" t="str">
        <f>_xlfn.XLOOKUP(A71, opponents_table!F:F, opponents_table!B:B, "", 0)</f>
        <v/>
      </c>
    </row>
    <row r="72" spans="1:2" x14ac:dyDescent="0.25">
      <c r="A72" t="s">
        <v>417</v>
      </c>
      <c r="B72" t="str">
        <f>_xlfn.XLOOKUP(A72, opponents_table!F:F, opponents_table!B:B, "", 0)</f>
        <v>Birdspotter Tamsin</v>
      </c>
    </row>
    <row r="73" spans="1:2" x14ac:dyDescent="0.25">
      <c r="A73" t="s">
        <v>418</v>
      </c>
      <c r="B73" t="str">
        <f>_xlfn.XLOOKUP(A73, opponents_table!F:F, opponents_table!B:B, "", 0)</f>
        <v/>
      </c>
    </row>
    <row r="74" spans="1:2" x14ac:dyDescent="0.25">
      <c r="A74" t="s">
        <v>419</v>
      </c>
      <c r="B74" t="str">
        <f>_xlfn.XLOOKUP(A74, opponents_table!F:F, opponents_table!B:B, "", 0)</f>
        <v/>
      </c>
    </row>
    <row r="75" spans="1:2" x14ac:dyDescent="0.25">
      <c r="A75" t="s">
        <v>420</v>
      </c>
      <c r="B75" t="str">
        <f>_xlfn.XLOOKUP(A75, opponents_table!F:F, opponents_table!B:B, "", 0)</f>
        <v>Rocket Exec Proton</v>
      </c>
    </row>
    <row r="76" spans="1:2" x14ac:dyDescent="0.25">
      <c r="A76" t="s">
        <v>421</v>
      </c>
      <c r="B76" t="str">
        <f>_xlfn.XLOOKUP(A76, opponents_table!F:F, opponents_table!B:B, "", 0)</f>
        <v/>
      </c>
    </row>
    <row r="77" spans="1:2" x14ac:dyDescent="0.25">
      <c r="A77" t="s">
        <v>422</v>
      </c>
      <c r="B77" t="str">
        <f>_xlfn.XLOOKUP(A77, opponents_table!F:F, opponents_table!B:B, "", 0)</f>
        <v/>
      </c>
    </row>
    <row r="78" spans="1:2" x14ac:dyDescent="0.25">
      <c r="A78" t="s">
        <v>423</v>
      </c>
      <c r="B78" t="str">
        <f>_xlfn.XLOOKUP(A78, opponents_table!F:F, opponents_table!B:B, "", 0)</f>
        <v/>
      </c>
    </row>
    <row r="79" spans="1:2" x14ac:dyDescent="0.25">
      <c r="A79" t="s">
        <v>424</v>
      </c>
      <c r="B79" t="str">
        <f>_xlfn.XLOOKUP(A79, opponents_table!F:F, opponents_table!B:B, "", 0)</f>
        <v>Tourist Edmund</v>
      </c>
    </row>
    <row r="80" spans="1:2" x14ac:dyDescent="0.25">
      <c r="A80" t="s">
        <v>425</v>
      </c>
      <c r="B80" t="str">
        <f>_xlfn.XLOOKUP(A80, opponents_table!F:F, opponents_table!B:B, "", 0)</f>
        <v>Schoolboy Adam</v>
      </c>
    </row>
    <row r="81" spans="1:2" x14ac:dyDescent="0.25">
      <c r="A81" t="s">
        <v>426</v>
      </c>
      <c r="B81" t="str">
        <f>_xlfn.XLOOKUP(A81, opponents_table!F:F, opponents_table!B:B, "", 0)</f>
        <v>Hiker Ben</v>
      </c>
    </row>
    <row r="82" spans="1:2" x14ac:dyDescent="0.25">
      <c r="A82" t="s">
        <v>427</v>
      </c>
      <c r="B82" t="str">
        <f>_xlfn.XLOOKUP(A82, opponents_table!F:F, opponents_table!B:B, "", 0)</f>
        <v/>
      </c>
    </row>
    <row r="83" spans="1:2" x14ac:dyDescent="0.25">
      <c r="A83" t="s">
        <v>428</v>
      </c>
      <c r="B83" t="str">
        <f>_xlfn.XLOOKUP(A83, opponents_table!F:F, opponents_table!B:B, "", 0)</f>
        <v/>
      </c>
    </row>
    <row r="84" spans="1:2" x14ac:dyDescent="0.25">
      <c r="A84" t="s">
        <v>429</v>
      </c>
      <c r="B84" t="str">
        <f>_xlfn.XLOOKUP(A84, opponents_table!F:F, opponents_table!B:B, "", 0)</f>
        <v/>
      </c>
    </row>
    <row r="85" spans="1:2" x14ac:dyDescent="0.25">
      <c r="A85" t="s">
        <v>430</v>
      </c>
      <c r="B85" t="str">
        <f>_xlfn.XLOOKUP(A85, opponents_table!F:F, opponents_table!B:B, "", 0)</f>
        <v>Rocket Exec Ariana</v>
      </c>
    </row>
    <row r="86" spans="1:2" x14ac:dyDescent="0.25">
      <c r="A86" t="s">
        <v>431</v>
      </c>
      <c r="B86" t="str">
        <f>_xlfn.XLOOKUP(A86, opponents_table!F:F, opponents_table!B:B, "", 0)</f>
        <v/>
      </c>
    </row>
    <row r="87" spans="1:2" x14ac:dyDescent="0.25">
      <c r="A87" t="s">
        <v>432</v>
      </c>
      <c r="B87" t="str">
        <f>_xlfn.XLOOKUP(A87, opponents_table!F:F, opponents_table!B:B, "", 0)</f>
        <v/>
      </c>
    </row>
    <row r="88" spans="1:2" x14ac:dyDescent="0.25">
      <c r="A88" t="s">
        <v>433</v>
      </c>
      <c r="B88" t="str">
        <f>_xlfn.XLOOKUP(A88, opponents_table!F:F, opponents_table!B:B, "", 0)</f>
        <v/>
      </c>
    </row>
    <row r="89" spans="1:2" x14ac:dyDescent="0.25">
      <c r="A89" t="s">
        <v>434</v>
      </c>
      <c r="B89" t="str">
        <f>_xlfn.XLOOKUP(A89, opponents_table!F:F, opponents_table!B:B, "", 0)</f>
        <v/>
      </c>
    </row>
    <row r="90" spans="1:2" x14ac:dyDescent="0.25">
      <c r="A90" t="s">
        <v>435</v>
      </c>
      <c r="B90" t="str">
        <f>_xlfn.XLOOKUP(A90, opponents_table!F:F, opponents_table!B:B, "", 0)</f>
        <v>Painter Jericho</v>
      </c>
    </row>
    <row r="91" spans="1:2" x14ac:dyDescent="0.25">
      <c r="A91" t="s">
        <v>436</v>
      </c>
      <c r="B91" t="str">
        <f>_xlfn.XLOOKUP(A91, opponents_table!F:F, opponents_table!B:B, "", 0)</f>
        <v/>
      </c>
    </row>
    <row r="92" spans="1:2" x14ac:dyDescent="0.25">
      <c r="A92" t="s">
        <v>437</v>
      </c>
      <c r="B92" t="str">
        <f>_xlfn.XLOOKUP(A92, opponents_table!F:F, opponents_table!B:B, "", 0)</f>
        <v/>
      </c>
    </row>
    <row r="93" spans="1:2" x14ac:dyDescent="0.25">
      <c r="A93" t="s">
        <v>438</v>
      </c>
      <c r="B93" t="str">
        <f>_xlfn.XLOOKUP(A93, opponents_table!F:F, opponents_table!B:B, "", 0)</f>
        <v/>
      </c>
    </row>
    <row r="94" spans="1:2" x14ac:dyDescent="0.25">
      <c r="A94" t="s">
        <v>439</v>
      </c>
      <c r="B94" t="str">
        <f>_xlfn.XLOOKUP(A94, opponents_table!F:F, opponents_table!B:B, "", 0)</f>
        <v>Young Sage Kai</v>
      </c>
    </row>
    <row r="95" spans="1:2" x14ac:dyDescent="0.25">
      <c r="A95" t="s">
        <v>440</v>
      </c>
      <c r="B95" t="str">
        <f>_xlfn.XLOOKUP(A95, opponents_table!F:F, opponents_table!B:B, "", 0)</f>
        <v>Light Engineer Chase</v>
      </c>
    </row>
    <row r="96" spans="1:2" x14ac:dyDescent="0.25">
      <c r="A96" t="s">
        <v>441</v>
      </c>
      <c r="B96" t="str">
        <f>_xlfn.XLOOKUP(A96, opponents_table!F:F, opponents_table!B:B, "", 0)</f>
        <v/>
      </c>
    </row>
    <row r="97" spans="1:2" x14ac:dyDescent="0.25">
      <c r="A97" t="s">
        <v>442</v>
      </c>
      <c r="B97" t="str">
        <f>_xlfn.XLOOKUP(A97, opponents_table!F:F, opponents_table!B:B, "", 0)</f>
        <v/>
      </c>
    </row>
    <row r="98" spans="1:2" x14ac:dyDescent="0.25">
      <c r="A98" t="s">
        <v>443</v>
      </c>
      <c r="B98" t="str">
        <f>_xlfn.XLOOKUP(A98, opponents_table!F:F, opponents_table!B:B, "", 0)</f>
        <v/>
      </c>
    </row>
    <row r="99" spans="1:2" x14ac:dyDescent="0.25">
      <c r="A99" t="s">
        <v>444</v>
      </c>
      <c r="B99" t="str">
        <f>_xlfn.XLOOKUP(A99, opponents_table!F:F, opponents_table!B:B, "", 0)</f>
        <v/>
      </c>
    </row>
    <row r="100" spans="1:2" x14ac:dyDescent="0.25">
      <c r="A100" t="s">
        <v>445</v>
      </c>
      <c r="B100" t="str">
        <f>_xlfn.XLOOKUP(A100, opponents_table!F:F, opponents_table!B:B, "", 0)</f>
        <v/>
      </c>
    </row>
    <row r="101" spans="1:2" x14ac:dyDescent="0.25">
      <c r="A101" t="s">
        <v>446</v>
      </c>
      <c r="B101" t="str">
        <f>_xlfn.XLOOKUP(A101, opponents_table!F:F, opponents_table!B:B, "", 0)</f>
        <v/>
      </c>
    </row>
    <row r="102" spans="1:2" x14ac:dyDescent="0.25">
      <c r="A102" t="s">
        <v>447</v>
      </c>
      <c r="B102" t="str">
        <f>_xlfn.XLOOKUP(A102, opponents_table!F:F, opponents_table!B:B, "", 0)</f>
        <v/>
      </c>
    </row>
    <row r="103" spans="1:2" x14ac:dyDescent="0.25">
      <c r="A103" t="s">
        <v>448</v>
      </c>
      <c r="B103" t="str">
        <f>_xlfn.XLOOKUP(A103, opponents_table!F:F, opponents_table!B:B, "", 0)</f>
        <v>Ex Gym Leader Koga</v>
      </c>
    </row>
    <row r="104" spans="1:2" x14ac:dyDescent="0.25">
      <c r="A104" t="s">
        <v>449</v>
      </c>
      <c r="B104" t="str">
        <f>_xlfn.XLOOKUP(A104, opponents_table!F:F, opponents_table!B:B, "", 0)</f>
        <v>Ex Gym Leader Giovanni</v>
      </c>
    </row>
    <row r="105" spans="1:2" x14ac:dyDescent="0.25">
      <c r="A105" t="s">
        <v>450</v>
      </c>
      <c r="B105" t="str">
        <f>_xlfn.XLOOKUP(A105, opponents_table!F:F, opponents_table!B:B, "", 0)</f>
        <v>Gym Challenge Giovanni</v>
      </c>
    </row>
    <row r="106" spans="1:2" x14ac:dyDescent="0.25">
      <c r="A106" t="s">
        <v>451</v>
      </c>
      <c r="B106" t="str">
        <f>_xlfn.XLOOKUP(A106, opponents_table!F:F, opponents_table!B:B, "", 0)</f>
        <v/>
      </c>
    </row>
    <row r="107" spans="1:2" x14ac:dyDescent="0.25">
      <c r="A107" t="s">
        <v>452</v>
      </c>
      <c r="B107" t="str">
        <f>_xlfn.XLOOKUP(A107, opponents_table!F:F, opponents_table!B:B, "", 0)</f>
        <v/>
      </c>
    </row>
    <row r="108" spans="1:2" x14ac:dyDescent="0.25">
      <c r="A108" t="s">
        <v>453</v>
      </c>
      <c r="B108" t="str">
        <f>_xlfn.XLOOKUP(A108, opponents_table!F:F, opponents_table!B:B, "", 0)</f>
        <v/>
      </c>
    </row>
    <row r="109" spans="1:2" x14ac:dyDescent="0.25">
      <c r="A109" t="s">
        <v>454</v>
      </c>
      <c r="B109" t="str">
        <f>_xlfn.XLOOKUP(A109, opponents_table!F:F, opponents_table!B:B, "", 0)</f>
        <v>Ex Gym Leader Brock</v>
      </c>
    </row>
    <row r="110" spans="1:2" x14ac:dyDescent="0.25">
      <c r="A110" t="s">
        <v>455</v>
      </c>
      <c r="B110" t="str">
        <f>_xlfn.XLOOKUP(A110, opponents_table!F:F, opponents_table!B:B, "", 0)</f>
        <v>Gym Challenge Brock</v>
      </c>
    </row>
    <row r="111" spans="1:2" x14ac:dyDescent="0.25">
      <c r="A111" t="s">
        <v>456</v>
      </c>
      <c r="B111" t="str">
        <f>_xlfn.XLOOKUP(A111, opponents_table!F:F, opponents_table!B:B, "", 0)</f>
        <v>Ex Gym Leader Blaine</v>
      </c>
    </row>
    <row r="112" spans="1:2" x14ac:dyDescent="0.25">
      <c r="A112" t="s">
        <v>457</v>
      </c>
      <c r="B112" t="str">
        <f>_xlfn.XLOOKUP(A112, opponents_table!F:F, opponents_table!B:B, "", 0)</f>
        <v>Gym Challenge Blaine</v>
      </c>
    </row>
    <row r="113" spans="1:2" x14ac:dyDescent="0.25">
      <c r="A113" t="s">
        <v>458</v>
      </c>
      <c r="B113" t="str">
        <f>_xlfn.XLOOKUP(A113, opponents_table!F:F, opponents_table!B:B, "", 0)</f>
        <v>Ex Gym Leader Erika</v>
      </c>
    </row>
    <row r="114" spans="1:2" x14ac:dyDescent="0.25">
      <c r="A114" t="s">
        <v>459</v>
      </c>
      <c r="B114" t="str">
        <f>_xlfn.XLOOKUP(A114, opponents_table!F:F, opponents_table!B:B, "", 0)</f>
        <v>Gym Challenge Erika</v>
      </c>
    </row>
    <row r="115" spans="1:2" x14ac:dyDescent="0.25">
      <c r="A115" t="s">
        <v>460</v>
      </c>
      <c r="B115" t="str">
        <f>_xlfn.XLOOKUP(A115, opponents_table!F:F, opponents_table!B:B, "", 0)</f>
        <v>Ex Gym Leader Lt. Surge</v>
      </c>
    </row>
    <row r="116" spans="1:2" x14ac:dyDescent="0.25">
      <c r="A116" t="s">
        <v>461</v>
      </c>
      <c r="B116" t="str">
        <f>_xlfn.XLOOKUP(A116, opponents_table!F:F, opponents_table!B:B, "", 0)</f>
        <v>Gym Challenge Lt. Surge</v>
      </c>
    </row>
    <row r="117" spans="1:2" x14ac:dyDescent="0.25">
      <c r="A117" t="s">
        <v>462</v>
      </c>
      <c r="B117" t="str">
        <f>_xlfn.XLOOKUP(A117, opponents_table!F:F, opponents_table!B:B, "", 0)</f>
        <v/>
      </c>
    </row>
    <row r="118" spans="1:2" x14ac:dyDescent="0.25">
      <c r="A118" t="s">
        <v>463</v>
      </c>
      <c r="B118" t="str">
        <f>_xlfn.XLOOKUP(A118, opponents_table!F:F, opponents_table!B:B, "", 0)</f>
        <v>Ex Gym Leader Sabrina</v>
      </c>
    </row>
    <row r="119" spans="1:2" x14ac:dyDescent="0.25">
      <c r="A119" t="s">
        <v>464</v>
      </c>
      <c r="B119" t="str">
        <f>_xlfn.XLOOKUP(A119, opponents_table!F:F, opponents_table!B:B, "", 0)</f>
        <v>Gym Challenge Sabrina</v>
      </c>
    </row>
    <row r="120" spans="1:2" x14ac:dyDescent="0.25">
      <c r="A120" t="s">
        <v>465</v>
      </c>
      <c r="B120" t="str">
        <f>_xlfn.XLOOKUP(A120, opponents_table!F:F, opponents_table!B:B, "", 0)</f>
        <v>Ex Gym Leader Misty</v>
      </c>
    </row>
    <row r="121" spans="1:2" x14ac:dyDescent="0.25">
      <c r="A121" t="s">
        <v>466</v>
      </c>
      <c r="B121" t="str">
        <f>_xlfn.XLOOKUP(A121, opponents_table!F:F, opponents_table!B:B, "", 0)</f>
        <v>Gym Challenge Misty</v>
      </c>
    </row>
    <row r="122" spans="1:2" x14ac:dyDescent="0.25">
      <c r="A122" t="s">
        <v>467</v>
      </c>
      <c r="B122" t="str">
        <f>_xlfn.XLOOKUP(A122, opponents_table!F:F, opponents_table!B:B, "", 0)</f>
        <v/>
      </c>
    </row>
    <row r="123" spans="1:2" x14ac:dyDescent="0.25">
      <c r="A123" t="s">
        <v>468</v>
      </c>
      <c r="B123" t="str">
        <f>_xlfn.XLOOKUP(A123, opponents_table!F:F, opponents_table!B:B, "", 0)</f>
        <v/>
      </c>
    </row>
    <row r="124" spans="1:2" x14ac:dyDescent="0.25">
      <c r="A124" t="s">
        <v>469</v>
      </c>
      <c r="B124" t="str">
        <f>_xlfn.XLOOKUP(A124, opponents_table!F:F, opponents_table!B:B, "", 0)</f>
        <v/>
      </c>
    </row>
    <row r="125" spans="1:2" x14ac:dyDescent="0.25">
      <c r="A125" t="s">
        <v>470</v>
      </c>
      <c r="B125" t="str">
        <f>_xlfn.XLOOKUP(A125, opponents_table!F:F, opponents_table!B:B, "", 0)</f>
        <v/>
      </c>
    </row>
    <row r="126" spans="1:2" x14ac:dyDescent="0.25">
      <c r="A126" t="s">
        <v>471</v>
      </c>
      <c r="B126" t="str">
        <f>_xlfn.XLOOKUP(A126, opponents_table!F:F, opponents_table!B:B, "", 0)</f>
        <v/>
      </c>
    </row>
    <row r="127" spans="1:2" x14ac:dyDescent="0.25">
      <c r="A127" t="s">
        <v>472</v>
      </c>
      <c r="B127" t="str">
        <f>_xlfn.XLOOKUP(A127, opponents_table!F:F, opponents_table!B:B, "", 0)</f>
        <v>Gambler Mick</v>
      </c>
    </row>
    <row r="128" spans="1:2" x14ac:dyDescent="0.25">
      <c r="A128" t="s">
        <v>473</v>
      </c>
      <c r="B128" t="str">
        <f>_xlfn.XLOOKUP(A128, opponents_table!F:F, opponents_table!B:B, "", 0)</f>
        <v/>
      </c>
    </row>
    <row r="129" spans="1:2" x14ac:dyDescent="0.25">
      <c r="A129" t="s">
        <v>474</v>
      </c>
      <c r="B129" t="str">
        <f>_xlfn.XLOOKUP(A129, opponents_table!F:F, opponents_table!B:B, "", 0)</f>
        <v/>
      </c>
    </row>
    <row r="130" spans="1:2" x14ac:dyDescent="0.25">
      <c r="A130" t="s">
        <v>475</v>
      </c>
      <c r="B130" t="str">
        <f>_xlfn.XLOOKUP(A130, opponents_table!F:F, opponents_table!B:B, "", 0)</f>
        <v/>
      </c>
    </row>
    <row r="131" spans="1:2" x14ac:dyDescent="0.25">
      <c r="A131" t="s">
        <v>476</v>
      </c>
      <c r="B131" t="str">
        <f>_xlfn.XLOOKUP(A131, opponents_table!F:F, opponents_table!B:B, "", 0)</f>
        <v/>
      </c>
    </row>
    <row r="132" spans="1:2" x14ac:dyDescent="0.25">
      <c r="A132" t="s">
        <v>477</v>
      </c>
      <c r="B132" t="str">
        <f>_xlfn.XLOOKUP(A132, opponents_table!F:F, opponents_table!B:B, "", 0)</f>
        <v/>
      </c>
    </row>
    <row r="133" spans="1:2" x14ac:dyDescent="0.25">
      <c r="A133" t="s">
        <v>478</v>
      </c>
      <c r="B133" t="str">
        <f>_xlfn.XLOOKUP(A133, opponents_table!F:F, opponents_table!B:B, "", 0)</f>
        <v/>
      </c>
    </row>
    <row r="134" spans="1:2" x14ac:dyDescent="0.25">
      <c r="A134" t="s">
        <v>479</v>
      </c>
      <c r="B134" t="str">
        <f>_xlfn.XLOOKUP(A134, opponents_table!F:F, opponents_table!B:B, "", 0)</f>
        <v/>
      </c>
    </row>
    <row r="135" spans="1:2" x14ac:dyDescent="0.25">
      <c r="A135" t="s">
        <v>480</v>
      </c>
      <c r="B135" t="str">
        <f>_xlfn.XLOOKUP(A135, opponents_table!F:F, opponents_table!B:B, "", 0)</f>
        <v/>
      </c>
    </row>
    <row r="136" spans="1:2" x14ac:dyDescent="0.25">
      <c r="A136" t="s">
        <v>481</v>
      </c>
      <c r="B136" t="str">
        <f>_xlfn.XLOOKUP(A136, opponents_table!F:F, opponents_table!B:B, "", 0)</f>
        <v/>
      </c>
    </row>
    <row r="137" spans="1:2" x14ac:dyDescent="0.25">
      <c r="A137" t="s">
        <v>482</v>
      </c>
      <c r="B137" t="str">
        <f>_xlfn.XLOOKUP(A137, opponents_table!F:F, opponents_table!B:B, "", 0)</f>
        <v/>
      </c>
    </row>
    <row r="138" spans="1:2" x14ac:dyDescent="0.25">
      <c r="A138" t="s">
        <v>483</v>
      </c>
      <c r="B138" t="str">
        <f>_xlfn.XLOOKUP(A138, opponents_table!F:F, opponents_table!B:B, "", 0)</f>
        <v/>
      </c>
    </row>
    <row r="139" spans="1:2" x14ac:dyDescent="0.25">
      <c r="A139" t="s">
        <v>484</v>
      </c>
      <c r="B139" t="str">
        <f>_xlfn.XLOOKUP(A139, opponents_table!F:F, opponents_table!B:B, "", 0)</f>
        <v/>
      </c>
    </row>
    <row r="140" spans="1:2" x14ac:dyDescent="0.25">
      <c r="A140" t="s">
        <v>485</v>
      </c>
      <c r="B140" t="str">
        <f>_xlfn.XLOOKUP(A140, opponents_table!F:F, opponents_table!B:B, "", 0)</f>
        <v/>
      </c>
    </row>
    <row r="141" spans="1:2" x14ac:dyDescent="0.25">
      <c r="A141" t="s">
        <v>486</v>
      </c>
      <c r="B141" t="str">
        <f>_xlfn.XLOOKUP(A141, opponents_table!F:F, opponents_table!B:B, "", 0)</f>
        <v/>
      </c>
    </row>
    <row r="142" spans="1:2" x14ac:dyDescent="0.25">
      <c r="A142" t="s">
        <v>487</v>
      </c>
      <c r="B142" t="str">
        <f>_xlfn.XLOOKUP(A142, opponents_table!F:F, opponents_table!B:B, "", 0)</f>
        <v>Ghost Whisperer Vera</v>
      </c>
    </row>
    <row r="143" spans="1:2" x14ac:dyDescent="0.25">
      <c r="A143" t="s">
        <v>488</v>
      </c>
      <c r="B143" t="str">
        <f>_xlfn.XLOOKUP(A143, opponents_table!F:F, opponents_table!B:B, "", 0)</f>
        <v>Hiker Matthew</v>
      </c>
    </row>
    <row r="144" spans="1:2" x14ac:dyDescent="0.25">
      <c r="A144" t="s">
        <v>489</v>
      </c>
      <c r="B144" t="str">
        <f>_xlfn.XLOOKUP(A144, opponents_table!F:F, opponents_table!B:B, "", 0)</f>
        <v/>
      </c>
    </row>
    <row r="145" spans="1:2" x14ac:dyDescent="0.25">
      <c r="A145" t="s">
        <v>490</v>
      </c>
      <c r="B145" t="str">
        <f>_xlfn.XLOOKUP(A145, opponents_table!F:F, opponents_table!B:B, "", 0)</f>
        <v/>
      </c>
    </row>
    <row r="146" spans="1:2" x14ac:dyDescent="0.25">
      <c r="A146" t="s">
        <v>491</v>
      </c>
      <c r="B146" t="str">
        <f>_xlfn.XLOOKUP(A146, opponents_table!F:F, opponents_table!B:B, "", 0)</f>
        <v>Doctor Mortimor</v>
      </c>
    </row>
    <row r="147" spans="1:2" x14ac:dyDescent="0.25">
      <c r="A147" t="s">
        <v>492</v>
      </c>
      <c r="B147" t="str">
        <f>_xlfn.XLOOKUP(A147, opponents_table!F:F, opponents_table!B:B, "", 0)</f>
        <v/>
      </c>
    </row>
    <row r="148" spans="1:2" x14ac:dyDescent="0.25">
      <c r="A148" t="s">
        <v>493</v>
      </c>
      <c r="B148" t="str">
        <f>_xlfn.XLOOKUP(A148, opponents_table!F:F, opponents_table!B:B, "", 0)</f>
        <v>Mad Scientist Leonard</v>
      </c>
    </row>
    <row r="149" spans="1:2" x14ac:dyDescent="0.25">
      <c r="A149" t="s">
        <v>494</v>
      </c>
      <c r="B149" t="str">
        <f>_xlfn.XLOOKUP(A149, opponents_table!F:F, opponents_table!B:B, "", 0)</f>
        <v>Lady Fiona</v>
      </c>
    </row>
    <row r="150" spans="1:2" x14ac:dyDescent="0.25">
      <c r="A150" t="s">
        <v>495</v>
      </c>
      <c r="B150" t="str">
        <f>_xlfn.XLOOKUP(A150, opponents_table!F:F, opponents_table!B:B, "", 0)</f>
        <v/>
      </c>
    </row>
    <row r="151" spans="1:2" x14ac:dyDescent="0.25">
      <c r="A151" t="s">
        <v>496</v>
      </c>
      <c r="B151" t="str">
        <f>_xlfn.XLOOKUP(A151, opponents_table!F:F, opponents_table!B:B, "", 0)</f>
        <v/>
      </c>
    </row>
    <row r="152" spans="1:2" x14ac:dyDescent="0.25">
      <c r="A152" t="s">
        <v>497</v>
      </c>
      <c r="B152" t="str">
        <f>_xlfn.XLOOKUP(A152, opponents_table!F:F, opponents_table!B:B, "", 0)</f>
        <v/>
      </c>
    </row>
    <row r="153" spans="1:2" x14ac:dyDescent="0.25">
      <c r="A153" t="s">
        <v>498</v>
      </c>
      <c r="B153" t="str">
        <f>_xlfn.XLOOKUP(A153, opponents_table!F:F, opponents_table!B:B, "", 0)</f>
        <v/>
      </c>
    </row>
    <row r="154" spans="1:2" x14ac:dyDescent="0.25">
      <c r="A154" t="s">
        <v>499</v>
      </c>
      <c r="B154" t="str">
        <f>_xlfn.XLOOKUP(A154, opponents_table!F:F, opponents_table!B:B, "", 0)</f>
        <v>Fisherman Gary</v>
      </c>
    </row>
    <row r="155" spans="1:2" x14ac:dyDescent="0.25">
      <c r="A155" t="s">
        <v>500</v>
      </c>
      <c r="B155" t="str">
        <f>_xlfn.XLOOKUP(A155, opponents_table!F:F, opponents_table!B:B, "", 0)</f>
        <v/>
      </c>
    </row>
    <row r="156" spans="1:2" x14ac:dyDescent="0.25">
      <c r="A156" t="s">
        <v>501</v>
      </c>
      <c r="B156" t="str">
        <f>_xlfn.XLOOKUP(A156, opponents_table!F:F, opponents_table!B:B, "", 0)</f>
        <v>Police Constable Floyd</v>
      </c>
    </row>
    <row r="157" spans="1:2" x14ac:dyDescent="0.25">
      <c r="A157" t="s">
        <v>502</v>
      </c>
      <c r="B157" t="str">
        <f>_xlfn.XLOOKUP(A157, opponents_table!F:F, opponents_table!B:B, "", 0)</f>
        <v/>
      </c>
    </row>
    <row r="158" spans="1:2" x14ac:dyDescent="0.25">
      <c r="A158" t="s">
        <v>503</v>
      </c>
      <c r="B158" t="str">
        <f>_xlfn.XLOOKUP(A158, opponents_table!F:F, opponents_table!B:B, "", 0)</f>
        <v/>
      </c>
    </row>
    <row r="159" spans="1:2" x14ac:dyDescent="0.25">
      <c r="A159" t="s">
        <v>504</v>
      </c>
      <c r="B159" t="str">
        <f>_xlfn.XLOOKUP(A159, opponents_table!F:F, opponents_table!B:B, "", 0)</f>
        <v>Card Elder Hamish</v>
      </c>
    </row>
    <row r="160" spans="1:2" x14ac:dyDescent="0.25">
      <c r="A160" t="s">
        <v>505</v>
      </c>
      <c r="B160" t="str">
        <f>_xlfn.XLOOKUP(A160, opponents_table!F:F, opponents_table!B:B, "", 0)</f>
        <v/>
      </c>
    </row>
    <row r="161" spans="1:2" x14ac:dyDescent="0.25">
      <c r="A161" t="s">
        <v>506</v>
      </c>
      <c r="B161" t="str">
        <f>_xlfn.XLOOKUP(A161, opponents_table!F:F, opponents_table!B:B, "", 0)</f>
        <v/>
      </c>
    </row>
    <row r="162" spans="1:2" x14ac:dyDescent="0.25">
      <c r="A162" t="s">
        <v>507</v>
      </c>
      <c r="B162" t="str">
        <f>_xlfn.XLOOKUP(A162, opponents_table!F:F, opponents_table!B:B, "", 0)</f>
        <v/>
      </c>
    </row>
    <row r="163" spans="1:2" x14ac:dyDescent="0.25">
      <c r="A163" t="s">
        <v>508</v>
      </c>
      <c r="B163" t="str">
        <f>_xlfn.XLOOKUP(A163, opponents_table!F:F, opponents_table!B:B, "", 0)</f>
        <v/>
      </c>
    </row>
    <row r="164" spans="1:2" x14ac:dyDescent="0.25">
      <c r="A164" t="s">
        <v>509</v>
      </c>
      <c r="B164" t="str">
        <f>_xlfn.XLOOKUP(A164, opponents_table!F:F, opponents_table!B:B, "", 0)</f>
        <v/>
      </c>
    </row>
    <row r="165" spans="1:2" x14ac:dyDescent="0.25">
      <c r="A165" t="s">
        <v>510</v>
      </c>
      <c r="B165" t="str">
        <f>_xlfn.XLOOKUP(A165, opponents_table!F:F, opponents_table!B:B, "", 0)</f>
        <v>Psychic Eli</v>
      </c>
    </row>
    <row r="166" spans="1:2" x14ac:dyDescent="0.25">
      <c r="A166" t="s">
        <v>511</v>
      </c>
      <c r="B166" t="str">
        <f>_xlfn.XLOOKUP(A166, opponents_table!F:F, opponents_table!B:B, "", 0)</f>
        <v/>
      </c>
    </row>
    <row r="167" spans="1:2" x14ac:dyDescent="0.25">
      <c r="A167" t="s">
        <v>512</v>
      </c>
      <c r="B167" t="str">
        <f>_xlfn.XLOOKUP(A167, opponents_table!F:F, opponents_table!B:B, "", 0)</f>
        <v>Nature Lover Erin</v>
      </c>
    </row>
    <row r="168" spans="1:2" x14ac:dyDescent="0.25">
      <c r="A168" t="s">
        <v>513</v>
      </c>
      <c r="B168" t="str">
        <f>_xlfn.XLOOKUP(A168, opponents_table!F:F, opponents_table!B:B, "", 0)</f>
        <v/>
      </c>
    </row>
    <row r="169" spans="1:2" x14ac:dyDescent="0.25">
      <c r="A169" t="s">
        <v>514</v>
      </c>
      <c r="B169" t="str">
        <f>_xlfn.XLOOKUP(A169, opponents_table!F:F, opponents_table!B:B, "", 0)</f>
        <v/>
      </c>
    </row>
    <row r="170" spans="1:2" x14ac:dyDescent="0.25">
      <c r="A170" t="s">
        <v>515</v>
      </c>
      <c r="B170" t="str">
        <f>_xlfn.XLOOKUP(A170, opponents_table!F:F, opponents_table!B:B, "", 0)</f>
        <v>Shady Character Owen</v>
      </c>
    </row>
    <row r="171" spans="1:2" x14ac:dyDescent="0.25">
      <c r="A171" t="s">
        <v>516</v>
      </c>
      <c r="B171" t="str">
        <f>_xlfn.XLOOKUP(A171, opponents_table!F:F, opponents_table!B:B, "", 0)</f>
        <v/>
      </c>
    </row>
    <row r="172" spans="1:2" x14ac:dyDescent="0.25">
      <c r="A172" t="s">
        <v>517</v>
      </c>
      <c r="B172" t="str">
        <f>_xlfn.XLOOKUP(A172, opponents_table!F:F, opponents_table!B:B, "", 0)</f>
        <v/>
      </c>
    </row>
    <row r="173" spans="1:2" x14ac:dyDescent="0.25">
      <c r="A173" t="s">
        <v>518</v>
      </c>
      <c r="B173" t="str">
        <f>_xlfn.XLOOKUP(A173, opponents_table!F:F, opponents_table!B:B, "", 0)</f>
        <v>Forest Ranger Tucker</v>
      </c>
    </row>
    <row r="174" spans="1:2" x14ac:dyDescent="0.25">
      <c r="A174" t="s">
        <v>519</v>
      </c>
      <c r="B174" t="str">
        <f>_xlfn.XLOOKUP(A174, opponents_table!F:F, opponents_table!B:B, "", 0)</f>
        <v>Gentleman Benedict</v>
      </c>
    </row>
    <row r="175" spans="1:2" x14ac:dyDescent="0.25">
      <c r="A175" t="s">
        <v>520</v>
      </c>
      <c r="B175" t="str">
        <f>_xlfn.XLOOKUP(A175, opponents_table!F:F, opponents_table!B:B, "", 0)</f>
        <v>Old Traveller Harold</v>
      </c>
    </row>
    <row r="176" spans="1:2" x14ac:dyDescent="0.25">
      <c r="A176" t="s">
        <v>521</v>
      </c>
      <c r="B176" t="str">
        <f>_xlfn.XLOOKUP(A176, opponents_table!F:F, opponents_table!B:B, "", 0)</f>
        <v/>
      </c>
    </row>
    <row r="177" spans="1:2" x14ac:dyDescent="0.25">
      <c r="A177" t="s">
        <v>522</v>
      </c>
      <c r="B177" t="str">
        <f>_xlfn.XLOOKUP(A177, opponents_table!F:F, opponents_table!B:B, "", 0)</f>
        <v/>
      </c>
    </row>
    <row r="178" spans="1:2" x14ac:dyDescent="0.25">
      <c r="A178" t="s">
        <v>523</v>
      </c>
      <c r="B178" t="str">
        <f>_xlfn.XLOOKUP(A178, opponents_table!F:F, opponents_table!B:B, "", 0)</f>
        <v/>
      </c>
    </row>
    <row r="179" spans="1:2" x14ac:dyDescent="0.25">
      <c r="A179" t="s">
        <v>524</v>
      </c>
      <c r="B179" t="str">
        <f>_xlfn.XLOOKUP(A179, opponents_table!F:F, opponents_table!B:B, "", 0)</f>
        <v/>
      </c>
    </row>
    <row r="180" spans="1:2" x14ac:dyDescent="0.25">
      <c r="A180" t="s">
        <v>525</v>
      </c>
      <c r="B180" t="str">
        <f>_xlfn.XLOOKUP(A180, opponents_table!F:F, opponents_table!B:B, "", 0)</f>
        <v/>
      </c>
    </row>
    <row r="181" spans="1:2" x14ac:dyDescent="0.25">
      <c r="A181" t="s">
        <v>526</v>
      </c>
      <c r="B181" t="str">
        <f>_xlfn.XLOOKUP(A181, opponents_table!F:F, opponents_table!B:B, "", 0)</f>
        <v>Veteran Sylvester</v>
      </c>
    </row>
    <row r="182" spans="1:2" x14ac:dyDescent="0.25">
      <c r="A182" t="s">
        <v>527</v>
      </c>
      <c r="B182" t="str">
        <f>_xlfn.XLOOKUP(A182, opponents_table!F:F, opponents_table!B:B, "", 0)</f>
        <v/>
      </c>
    </row>
    <row r="183" spans="1:2" x14ac:dyDescent="0.25">
      <c r="A183" t="s">
        <v>528</v>
      </c>
      <c r="B183" t="str">
        <f>_xlfn.XLOOKUP(A183, opponents_table!F:F, opponents_table!B:B, "", 0)</f>
        <v/>
      </c>
    </row>
    <row r="184" spans="1:2" x14ac:dyDescent="0.25">
      <c r="A184" t="s">
        <v>529</v>
      </c>
      <c r="B184" t="str">
        <f>_xlfn.XLOOKUP(A184, opponents_table!F:F, opponents_table!B:B, "", 0)</f>
        <v/>
      </c>
    </row>
    <row r="185" spans="1:2" x14ac:dyDescent="0.25">
      <c r="A185" t="s">
        <v>530</v>
      </c>
      <c r="B185" t="str">
        <f>_xlfn.XLOOKUP(A185, opponents_table!F:F, opponents_table!B:B, "", 0)</f>
        <v/>
      </c>
    </row>
    <row r="186" spans="1:2" x14ac:dyDescent="0.25">
      <c r="A186" t="s">
        <v>531</v>
      </c>
      <c r="B186" t="str">
        <f>_xlfn.XLOOKUP(A186, opponents_table!F:F, opponents_table!B:B, "", 0)</f>
        <v/>
      </c>
    </row>
    <row r="187" spans="1:2" x14ac:dyDescent="0.25">
      <c r="A187" t="s">
        <v>532</v>
      </c>
      <c r="B187" t="str">
        <f>_xlfn.XLOOKUP(A187, opponents_table!F:F, opponents_table!B:B, "", 0)</f>
        <v/>
      </c>
    </row>
    <row r="188" spans="1:2" x14ac:dyDescent="0.25">
      <c r="A188" t="s">
        <v>533</v>
      </c>
      <c r="B188" t="str">
        <f>_xlfn.XLOOKUP(A188, opponents_table!F:F, opponents_table!B:B, "", 0)</f>
        <v/>
      </c>
    </row>
    <row r="189" spans="1:2" x14ac:dyDescent="0.25">
      <c r="A189" t="s">
        <v>534</v>
      </c>
      <c r="B189" t="str">
        <f>_xlfn.XLOOKUP(A189, opponents_table!F:F, opponents_table!B:B, "", 0)</f>
        <v/>
      </c>
    </row>
    <row r="190" spans="1:2" x14ac:dyDescent="0.25">
      <c r="A190" t="s">
        <v>535</v>
      </c>
      <c r="B190" t="str">
        <f>_xlfn.XLOOKUP(A190, opponents_table!F:F, opponents_table!B:B, "", 0)</f>
        <v/>
      </c>
    </row>
    <row r="191" spans="1:2" x14ac:dyDescent="0.25">
      <c r="A191" t="s">
        <v>536</v>
      </c>
      <c r="B191" t="str">
        <f>_xlfn.XLOOKUP(A191, opponents_table!F:F, opponents_table!B:B, "", 0)</f>
        <v/>
      </c>
    </row>
    <row r="192" spans="1:2" x14ac:dyDescent="0.25">
      <c r="A192" t="s">
        <v>537</v>
      </c>
      <c r="B192" t="str">
        <f>_xlfn.XLOOKUP(A192, opponents_table!F:F, opponents_table!B:B, "", 0)</f>
        <v>Police Sergeant Douglas</v>
      </c>
    </row>
    <row r="193" spans="1:2" x14ac:dyDescent="0.25">
      <c r="A193" t="s">
        <v>538</v>
      </c>
      <c r="B193" t="str">
        <f>_xlfn.XLOOKUP(A193, opponents_table!F:F, opponents_table!B:B, "", 0)</f>
        <v>Hiker Walter</v>
      </c>
    </row>
    <row r="194" spans="1:2" x14ac:dyDescent="0.25">
      <c r="A194" t="s">
        <v>539</v>
      </c>
      <c r="B194" t="str">
        <f>_xlfn.XLOOKUP(A194, opponents_table!F:F, opponents_table!B:B, "", 0)</f>
        <v>Fisherman Dave</v>
      </c>
    </row>
    <row r="195" spans="1:2" x14ac:dyDescent="0.25">
      <c r="A195" t="s">
        <v>540</v>
      </c>
      <c r="B195" t="str">
        <f>_xlfn.XLOOKUP(A195, opponents_table!F:F, opponents_table!B:B, "", 0)</f>
        <v>Firebreather Darryl</v>
      </c>
    </row>
    <row r="196" spans="1:2" x14ac:dyDescent="0.25">
      <c r="A196" t="s">
        <v>541</v>
      </c>
      <c r="B196" t="str">
        <f>_xlfn.XLOOKUP(A196, opponents_table!F:F, opponents_table!B:B, "", 0)</f>
        <v/>
      </c>
    </row>
    <row r="197" spans="1:2" x14ac:dyDescent="0.25">
      <c r="A197" t="s">
        <v>542</v>
      </c>
      <c r="B197" t="str">
        <f>_xlfn.XLOOKUP(A197, opponents_table!F:F, opponents_table!B:B, "", 0)</f>
        <v/>
      </c>
    </row>
    <row r="198" spans="1:2" x14ac:dyDescent="0.25">
      <c r="A198" t="s">
        <v>543</v>
      </c>
      <c r="B198" t="str">
        <f>_xlfn.XLOOKUP(A198, opponents_table!F:F, opponents_table!B:B, "", 0)</f>
        <v>Guitarist Jonesy</v>
      </c>
    </row>
    <row r="199" spans="1:2" x14ac:dyDescent="0.25">
      <c r="A199" t="s">
        <v>544</v>
      </c>
      <c r="B199" t="str">
        <f>_xlfn.XLOOKUP(A199, opponents_table!F:F, opponents_table!B:B, "", 0)</f>
        <v>Youngster Cooper</v>
      </c>
    </row>
    <row r="200" spans="1:2" x14ac:dyDescent="0.25">
      <c r="A200" t="s">
        <v>545</v>
      </c>
      <c r="B200" t="str">
        <f>_xlfn.XLOOKUP(A200, opponents_table!F:F, opponents_table!B:B, "", 0)</f>
        <v/>
      </c>
    </row>
    <row r="201" spans="1:2" x14ac:dyDescent="0.25">
      <c r="A201" t="s">
        <v>546</v>
      </c>
      <c r="B201" t="str">
        <f>_xlfn.XLOOKUP(A201, opponents_table!F:F, opponents_table!B:B, "", 0)</f>
        <v>Battlegirl Sofia</v>
      </c>
    </row>
    <row r="202" spans="1:2" x14ac:dyDescent="0.25">
      <c r="A202" t="s">
        <v>547</v>
      </c>
      <c r="B202" t="str">
        <f>_xlfn.XLOOKUP(A202, opponents_table!F:F, opponents_table!B:B, "", 0)</f>
        <v/>
      </c>
    </row>
    <row r="203" spans="1:2" x14ac:dyDescent="0.25">
      <c r="A203" t="s">
        <v>548</v>
      </c>
      <c r="B203" t="str">
        <f>_xlfn.XLOOKUP(A203, opponents_table!F:F, opponents_table!B:B, "", 0)</f>
        <v/>
      </c>
    </row>
    <row r="204" spans="1:2" x14ac:dyDescent="0.25">
      <c r="A204" t="s">
        <v>549</v>
      </c>
      <c r="B204" t="str">
        <f>_xlfn.XLOOKUP(A204, opponents_table!F:F, opponents_table!B:B, "", 0)</f>
        <v/>
      </c>
    </row>
    <row r="205" spans="1:2" x14ac:dyDescent="0.25">
      <c r="A205" t="s">
        <v>550</v>
      </c>
      <c r="B205" t="str">
        <f>_xlfn.XLOOKUP(A205, opponents_table!F:F, opponents_table!B:B, "", 0)</f>
        <v/>
      </c>
    </row>
    <row r="206" spans="1:2" x14ac:dyDescent="0.25">
      <c r="A206" t="s">
        <v>551</v>
      </c>
      <c r="B206" t="str">
        <f>_xlfn.XLOOKUP(A206, opponents_table!F:F, opponents_table!B:B, "", 0)</f>
        <v/>
      </c>
    </row>
    <row r="207" spans="1:2" x14ac:dyDescent="0.25">
      <c r="A207" t="s">
        <v>552</v>
      </c>
      <c r="B207" t="str">
        <f>_xlfn.XLOOKUP(A207, opponents_table!F:F, opponents_table!B:B, "", 0)</f>
        <v/>
      </c>
    </row>
    <row r="208" spans="1:2" x14ac:dyDescent="0.25">
      <c r="A208" t="s">
        <v>553</v>
      </c>
      <c r="B208" t="str">
        <f>_xlfn.XLOOKUP(A208, opponents_table!F:F, opponents_table!B:B, "", 0)</f>
        <v/>
      </c>
    </row>
    <row r="209" spans="1:2" x14ac:dyDescent="0.25">
      <c r="A209" t="s">
        <v>554</v>
      </c>
      <c r="B209" t="str">
        <f>_xlfn.XLOOKUP(A209, opponents_table!F:F, opponents_table!B:B, "", 0)</f>
        <v/>
      </c>
    </row>
    <row r="210" spans="1:2" x14ac:dyDescent="0.25">
      <c r="A210" t="s">
        <v>555</v>
      </c>
      <c r="B210" t="str">
        <f>_xlfn.XLOOKUP(A210, opponents_table!F:F, opponents_table!B:B, "", 0)</f>
        <v/>
      </c>
    </row>
    <row r="211" spans="1:2" x14ac:dyDescent="0.25">
      <c r="A211" t="s">
        <v>556</v>
      </c>
      <c r="B211" t="str">
        <f>_xlfn.XLOOKUP(A211, opponents_table!F:F, opponents_table!B:B, "", 0)</f>
        <v/>
      </c>
    </row>
    <row r="212" spans="1:2" x14ac:dyDescent="0.25">
      <c r="A212" t="s">
        <v>557</v>
      </c>
      <c r="B212" t="str">
        <f>_xlfn.XLOOKUP(A212, opponents_table!F:F, opponents_table!B:B, "", 0)</f>
        <v>Psychic Brienne</v>
      </c>
    </row>
    <row r="213" spans="1:2" x14ac:dyDescent="0.25">
      <c r="A213" t="s">
        <v>558</v>
      </c>
      <c r="B213" t="str">
        <f>_xlfn.XLOOKUP(A213, opponents_table!F:F, opponents_table!B:B, "", 0)</f>
        <v/>
      </c>
    </row>
    <row r="214" spans="1:2" x14ac:dyDescent="0.25">
      <c r="A214" t="s">
        <v>559</v>
      </c>
      <c r="B214" t="str">
        <f>_xlfn.XLOOKUP(A214, opponents_table!F:F, opponents_table!B:B, "", 0)</f>
        <v/>
      </c>
    </row>
    <row r="215" spans="1:2" x14ac:dyDescent="0.25">
      <c r="A215" t="s">
        <v>560</v>
      </c>
      <c r="B215" t="str">
        <f>_xlfn.XLOOKUP(A215, opponents_table!F:F, opponents_table!B:B, "", 0)</f>
        <v/>
      </c>
    </row>
    <row r="216" spans="1:2" x14ac:dyDescent="0.25">
      <c r="A216" t="s">
        <v>561</v>
      </c>
      <c r="B216" t="str">
        <f>_xlfn.XLOOKUP(A216, opponents_table!F:F, opponents_table!B:B, "", 0)</f>
        <v/>
      </c>
    </row>
    <row r="217" spans="1:2" x14ac:dyDescent="0.25">
      <c r="A217" t="s">
        <v>562</v>
      </c>
      <c r="B217" t="str">
        <f>_xlfn.XLOOKUP(A217, opponents_table!F:F, opponents_table!B:B, "", 0)</f>
        <v>Bad Dude Paul</v>
      </c>
    </row>
    <row r="218" spans="1:2" x14ac:dyDescent="0.25">
      <c r="A218" t="s">
        <v>563</v>
      </c>
      <c r="B218" t="str">
        <f>_xlfn.XLOOKUP(A218, opponents_table!F:F, opponents_table!B:B, "", 0)</f>
        <v/>
      </c>
    </row>
    <row r="219" spans="1:2" x14ac:dyDescent="0.25">
      <c r="A219" t="s">
        <v>564</v>
      </c>
      <c r="B219" t="str">
        <f>_xlfn.XLOOKUP(A219, opponents_table!F:F, opponents_table!B:B, "", 0)</f>
        <v/>
      </c>
    </row>
    <row r="220" spans="1:2" x14ac:dyDescent="0.25">
      <c r="A220" t="s">
        <v>565</v>
      </c>
      <c r="B220" t="str">
        <f>_xlfn.XLOOKUP(A220, opponents_table!F:F, opponents_table!B:B, "", 0)</f>
        <v>Jogger Daniel</v>
      </c>
    </row>
    <row r="221" spans="1:2" x14ac:dyDescent="0.25">
      <c r="A221" t="s">
        <v>566</v>
      </c>
      <c r="B221" t="str">
        <f>_xlfn.XLOOKUP(A221, opponents_table!F:F, opponents_table!B:B, "", 0)</f>
        <v/>
      </c>
    </row>
    <row r="222" spans="1:2" x14ac:dyDescent="0.25">
      <c r="A222" t="s">
        <v>567</v>
      </c>
      <c r="B222" t="str">
        <f>_xlfn.XLOOKUP(A222, opponents_table!F:F, opponents_table!B:B, "", 0)</f>
        <v/>
      </c>
    </row>
    <row r="223" spans="1:2" x14ac:dyDescent="0.25">
      <c r="A223" t="s">
        <v>568</v>
      </c>
      <c r="B223" t="str">
        <f>_xlfn.XLOOKUP(A223, opponents_table!F:F, opponents_table!B:B, "", 0)</f>
        <v/>
      </c>
    </row>
    <row r="224" spans="1:2" x14ac:dyDescent="0.25">
      <c r="A224" t="s">
        <v>569</v>
      </c>
      <c r="B224" t="str">
        <f>_xlfn.XLOOKUP(A224, opponents_table!F:F, opponents_table!B:B, "", 0)</f>
        <v/>
      </c>
    </row>
    <row r="225" spans="1:2" x14ac:dyDescent="0.25">
      <c r="A225" t="s">
        <v>570</v>
      </c>
      <c r="B225" t="str">
        <f>_xlfn.XLOOKUP(A225, opponents_table!F:F, opponents_table!B:B, "", 0)</f>
        <v/>
      </c>
    </row>
    <row r="226" spans="1:2" x14ac:dyDescent="0.25">
      <c r="A226" t="s">
        <v>571</v>
      </c>
      <c r="B226" t="str">
        <f>_xlfn.XLOOKUP(A226, opponents_table!F:F, opponents_table!B:B, "", 0)</f>
        <v>Backpacker Patrick</v>
      </c>
    </row>
    <row r="227" spans="1:2" x14ac:dyDescent="0.25">
      <c r="A227" t="s">
        <v>572</v>
      </c>
      <c r="B227" t="str">
        <f>_xlfn.XLOOKUP(A227, opponents_table!F:F, opponents_table!B:B, "", 0)</f>
        <v/>
      </c>
    </row>
    <row r="228" spans="1:2" x14ac:dyDescent="0.25">
      <c r="A228" t="s">
        <v>573</v>
      </c>
      <c r="B228" t="str">
        <f>_xlfn.XLOOKUP(A228, opponents_table!F:F, opponents_table!B:B, "", 0)</f>
        <v/>
      </c>
    </row>
    <row r="229" spans="1:2" x14ac:dyDescent="0.25">
      <c r="A229" t="s">
        <v>574</v>
      </c>
      <c r="B229" t="str">
        <f>_xlfn.XLOOKUP(A229, opponents_table!F:F, opponents_table!B:B, "", 0)</f>
        <v/>
      </c>
    </row>
    <row r="230" spans="1:2" x14ac:dyDescent="0.25">
      <c r="A230" t="s">
        <v>575</v>
      </c>
      <c r="B230" t="str">
        <f>_xlfn.XLOOKUP(A230, opponents_table!F:F, opponents_table!B:B, "", 0)</f>
        <v/>
      </c>
    </row>
    <row r="231" spans="1:2" x14ac:dyDescent="0.25">
      <c r="A231" t="s">
        <v>576</v>
      </c>
      <c r="B231" t="str">
        <f>_xlfn.XLOOKUP(A231, opponents_table!F:F, opponents_table!B:B, "", 0)</f>
        <v/>
      </c>
    </row>
    <row r="232" spans="1:2" x14ac:dyDescent="0.25">
      <c r="A232" t="s">
        <v>577</v>
      </c>
      <c r="B232" t="str">
        <f>_xlfn.XLOOKUP(A232, opponents_table!F:F, opponents_table!B:B, "", 0)</f>
        <v>Youngster Milo</v>
      </c>
    </row>
    <row r="233" spans="1:2" x14ac:dyDescent="0.25">
      <c r="A233" t="s">
        <v>578</v>
      </c>
      <c r="B233" t="str">
        <f>_xlfn.XLOOKUP(A233, opponents_table!F:F, opponents_table!B:B, "", 0)</f>
        <v/>
      </c>
    </row>
    <row r="234" spans="1:2" x14ac:dyDescent="0.25">
      <c r="A234" t="s">
        <v>579</v>
      </c>
      <c r="B234" t="str">
        <f>_xlfn.XLOOKUP(A234, opponents_table!F:F, opponents_table!B:B, "", 0)</f>
        <v/>
      </c>
    </row>
    <row r="235" spans="1:2" x14ac:dyDescent="0.25">
      <c r="A235" t="s">
        <v>580</v>
      </c>
      <c r="B235" t="str">
        <f>_xlfn.XLOOKUP(A235, opponents_table!F:F, opponents_table!B:B, "", 0)</f>
        <v/>
      </c>
    </row>
    <row r="236" spans="1:2" x14ac:dyDescent="0.25">
      <c r="A236" t="s">
        <v>581</v>
      </c>
      <c r="B236" t="str">
        <f>_xlfn.XLOOKUP(A236, opponents_table!F:F, opponents_table!B:B, "", 0)</f>
        <v/>
      </c>
    </row>
    <row r="237" spans="1:2" x14ac:dyDescent="0.25">
      <c r="A237" t="s">
        <v>582</v>
      </c>
      <c r="B237" t="str">
        <f>_xlfn.XLOOKUP(A237, opponents_table!F:F, opponents_table!B:B, "", 0)</f>
        <v>Birdspotter Gregg</v>
      </c>
    </row>
    <row r="238" spans="1:2" x14ac:dyDescent="0.25">
      <c r="A238" t="s">
        <v>583</v>
      </c>
      <c r="B238" t="str">
        <f>_xlfn.XLOOKUP(A238, opponents_table!F:F, opponents_table!B:B, "", 0)</f>
        <v/>
      </c>
    </row>
    <row r="239" spans="1:2" x14ac:dyDescent="0.25">
      <c r="A239" t="s">
        <v>584</v>
      </c>
      <c r="B239" t="str">
        <f>_xlfn.XLOOKUP(A239, opponents_table!F:F, opponents_table!B:B, "", 0)</f>
        <v/>
      </c>
    </row>
    <row r="240" spans="1:2" x14ac:dyDescent="0.25">
      <c r="A240" t="s">
        <v>585</v>
      </c>
      <c r="B240" t="str">
        <f>_xlfn.XLOOKUP(A240, opponents_table!F:F, opponents_table!B:B, "", 0)</f>
        <v>Beach Kid Evie</v>
      </c>
    </row>
    <row r="241" spans="1:2" x14ac:dyDescent="0.25">
      <c r="A241" t="s">
        <v>586</v>
      </c>
      <c r="B241" t="str">
        <f>_xlfn.XLOOKUP(A241, opponents_table!F:F, opponents_table!B:B, "", 0)</f>
        <v/>
      </c>
    </row>
    <row r="242" spans="1:2" x14ac:dyDescent="0.25">
      <c r="A242" t="s">
        <v>587</v>
      </c>
      <c r="B242" t="str">
        <f>_xlfn.XLOOKUP(A242, opponents_table!F:F, opponents_table!B:B, "", 0)</f>
        <v/>
      </c>
    </row>
    <row r="243" spans="1:2" x14ac:dyDescent="0.25">
      <c r="A243" t="s">
        <v>588</v>
      </c>
      <c r="B243" t="str">
        <f>_xlfn.XLOOKUP(A243, opponents_table!F:F, opponents_table!B:B, "", 0)</f>
        <v>Pikachu Fan Marina</v>
      </c>
    </row>
    <row r="244" spans="1:2" x14ac:dyDescent="0.25">
      <c r="A244" t="s">
        <v>589</v>
      </c>
      <c r="B244" t="str">
        <f>_xlfn.XLOOKUP(A244, opponents_table!F:F, opponents_table!B:B, "", 0)</f>
        <v>Pikachu Fan Skye</v>
      </c>
    </row>
    <row r="245" spans="1:2" x14ac:dyDescent="0.25">
      <c r="A245" t="s">
        <v>590</v>
      </c>
      <c r="B245" t="str">
        <f>_xlfn.XLOOKUP(A245, opponents_table!F:F, opponents_table!B:B, "", 0)</f>
        <v>Pikachu Fan Cami</v>
      </c>
    </row>
    <row r="246" spans="1:2" x14ac:dyDescent="0.25">
      <c r="A246" t="s">
        <v>591</v>
      </c>
      <c r="B246" t="str">
        <f>_xlfn.XLOOKUP(A246, opponents_table!F:F, opponents_table!B:B, "", 0)</f>
        <v>Pikachu Fan Juniper</v>
      </c>
    </row>
    <row r="247" spans="1:2" x14ac:dyDescent="0.25">
      <c r="A247" t="s">
        <v>592</v>
      </c>
      <c r="B247" t="str">
        <f>_xlfn.XLOOKUP(A247, opponents_table!F:F, opponents_table!B:B, "", 0)</f>
        <v>Pikachu Fan Raye</v>
      </c>
    </row>
    <row r="248" spans="1:2" x14ac:dyDescent="0.25">
      <c r="A248" t="s">
        <v>593</v>
      </c>
      <c r="B248" t="str">
        <f>_xlfn.XLOOKUP(A248, opponents_table!F:F, opponents_table!B:B, "", 0)</f>
        <v>Pikachu Fan Leaf</v>
      </c>
    </row>
    <row r="249" spans="1:2" x14ac:dyDescent="0.25">
      <c r="A249" t="s">
        <v>594</v>
      </c>
      <c r="B249" t="str">
        <f>_xlfn.XLOOKUP(A249, opponents_table!F:F, opponents_table!B:B, "", 0)</f>
        <v/>
      </c>
    </row>
    <row r="250" spans="1:2" x14ac:dyDescent="0.25">
      <c r="A250" t="s">
        <v>595</v>
      </c>
      <c r="B250" t="str">
        <f>_xlfn.XLOOKUP(A250, opponents_table!F:F, opponents_table!B:B, "", 0)</f>
        <v/>
      </c>
    </row>
    <row r="251" spans="1:2" x14ac:dyDescent="0.25">
      <c r="A251" t="s">
        <v>596</v>
      </c>
      <c r="B251" t="str">
        <f>_xlfn.XLOOKUP(A251, opponents_table!F:F, opponents_table!B:B, "", 0)</f>
        <v/>
      </c>
    </row>
    <row r="252" spans="1:2" x14ac:dyDescent="0.25">
      <c r="A252" t="s">
        <v>597</v>
      </c>
      <c r="B252" t="str">
        <f>_xlfn.XLOOKUP(A252, opponents_table!F:F, opponents_table!B:B, "", 0)</f>
        <v/>
      </c>
    </row>
    <row r="253" spans="1:2" x14ac:dyDescent="0.25">
      <c r="A253" t="s">
        <v>598</v>
      </c>
      <c r="B253" t="str">
        <f>_xlfn.XLOOKUP(A253, opponents_table!F:F, opponents_table!B:B, "", 0)</f>
        <v/>
      </c>
    </row>
    <row r="254" spans="1:2" x14ac:dyDescent="0.25">
      <c r="A254" t="s">
        <v>599</v>
      </c>
      <c r="B254" t="str">
        <f>_xlfn.XLOOKUP(A254, opponents_table!F:F, opponents_table!B:B, "", 0)</f>
        <v/>
      </c>
    </row>
    <row r="255" spans="1:2" x14ac:dyDescent="0.25">
      <c r="A255" t="s">
        <v>600</v>
      </c>
      <c r="B255" t="str">
        <f>_xlfn.XLOOKUP(A255, opponents_table!F:F, opponents_table!B:B, "", 0)</f>
        <v>Bug Catcher Frankie</v>
      </c>
    </row>
    <row r="256" spans="1:2" x14ac:dyDescent="0.25">
      <c r="A256" t="s">
        <v>601</v>
      </c>
      <c r="B256" t="str">
        <f>_xlfn.XLOOKUP(A256, opponents_table!F:F, opponents_table!B:B, "", 0)</f>
        <v/>
      </c>
    </row>
    <row r="257" spans="1:2" x14ac:dyDescent="0.25">
      <c r="A257" t="s">
        <v>602</v>
      </c>
      <c r="B257" t="str">
        <f>_xlfn.XLOOKUP(A257, opponents_table!F:F, opponents_table!B:B, "", 0)</f>
        <v>Swimmer Jordan</v>
      </c>
    </row>
    <row r="258" spans="1:2" x14ac:dyDescent="0.25">
      <c r="A258" t="s">
        <v>603</v>
      </c>
      <c r="B258" t="str">
        <f>_xlfn.XLOOKUP(A258, opponents_table!F:F, opponents_table!B:B, "", 0)</f>
        <v/>
      </c>
    </row>
    <row r="259" spans="1:2" x14ac:dyDescent="0.25">
      <c r="A259" t="s">
        <v>604</v>
      </c>
      <c r="B259" t="str">
        <f>_xlfn.XLOOKUP(A259, opponents_table!F:F, opponents_table!B:B, "", 0)</f>
        <v>Firebreather Kenneth</v>
      </c>
    </row>
    <row r="260" spans="1:2" x14ac:dyDescent="0.25">
      <c r="A260" t="s">
        <v>605</v>
      </c>
      <c r="B260" t="str">
        <f>_xlfn.XLOOKUP(A260, opponents_table!F:F, opponents_table!B:B, "", 0)</f>
        <v/>
      </c>
    </row>
    <row r="261" spans="1:2" x14ac:dyDescent="0.25">
      <c r="A261" t="s">
        <v>606</v>
      </c>
      <c r="B261" t="str">
        <f>_xlfn.XLOOKUP(A261, opponents_table!F:F, opponents_table!B:B, "", 0)</f>
        <v/>
      </c>
    </row>
    <row r="262" spans="1:2" x14ac:dyDescent="0.25">
      <c r="A262" t="s">
        <v>607</v>
      </c>
      <c r="B262" t="str">
        <f>_xlfn.XLOOKUP(A262, opponents_table!F:F, opponents_table!B:B, "", 0)</f>
        <v/>
      </c>
    </row>
    <row r="263" spans="1:2" x14ac:dyDescent="0.25">
      <c r="A263" t="s">
        <v>608</v>
      </c>
      <c r="B263" t="str">
        <f>_xlfn.XLOOKUP(A263, opponents_table!F:F, opponents_table!B:B, "", 0)</f>
        <v/>
      </c>
    </row>
    <row r="264" spans="1:2" x14ac:dyDescent="0.25">
      <c r="A264" t="s">
        <v>609</v>
      </c>
      <c r="B264" t="str">
        <f>_xlfn.XLOOKUP(A264, opponents_table!F:F, opponents_table!B:B, "", 0)</f>
        <v>Gambler Victor</v>
      </c>
    </row>
    <row r="265" spans="1:2" x14ac:dyDescent="0.25">
      <c r="A265" t="s">
        <v>610</v>
      </c>
      <c r="B265" t="str">
        <f>_xlfn.XLOOKUP(A265, opponents_table!F:F, opponents_table!B:B, "", 0)</f>
        <v/>
      </c>
    </row>
    <row r="266" spans="1:2" x14ac:dyDescent="0.25">
      <c r="A266" t="s">
        <v>611</v>
      </c>
      <c r="B266" t="str">
        <f>_xlfn.XLOOKUP(A266, opponents_table!F:F, opponents_table!B:B, "", 0)</f>
        <v>Pikachu Mum</v>
      </c>
    </row>
    <row r="267" spans="1:2" x14ac:dyDescent="0.25">
      <c r="A267" t="s">
        <v>612</v>
      </c>
      <c r="B267" t="str">
        <f>_xlfn.XLOOKUP(A267, opponents_table!F:F, opponents_table!B:B, "", 0)</f>
        <v>Guitarist Howard</v>
      </c>
    </row>
    <row r="268" spans="1:2" x14ac:dyDescent="0.25">
      <c r="A268" t="s">
        <v>613</v>
      </c>
      <c r="B268" t="str">
        <f>_xlfn.XLOOKUP(A268, opponents_table!F:F, opponents_table!B:B, "", 0)</f>
        <v/>
      </c>
    </row>
    <row r="269" spans="1:2" x14ac:dyDescent="0.25">
      <c r="A269" t="s">
        <v>614</v>
      </c>
      <c r="B269" t="str">
        <f>_xlfn.XLOOKUP(A269, opponents_table!F:F, opponents_table!B:B, "", 0)</f>
        <v/>
      </c>
    </row>
    <row r="270" spans="1:2" x14ac:dyDescent="0.25">
      <c r="A270" t="s">
        <v>615</v>
      </c>
      <c r="B270" t="str">
        <f>_xlfn.XLOOKUP(A270, opponents_table!F:F, opponents_table!B:B, "", 0)</f>
        <v/>
      </c>
    </row>
    <row r="271" spans="1:2" x14ac:dyDescent="0.25">
      <c r="A271" t="s">
        <v>616</v>
      </c>
      <c r="B271" t="str">
        <f>_xlfn.XLOOKUP(A271, opponents_table!F:F, opponents_table!B:B, "", 0)</f>
        <v/>
      </c>
    </row>
    <row r="272" spans="1:2" x14ac:dyDescent="0.25">
      <c r="A272" t="s">
        <v>617</v>
      </c>
      <c r="B272" t="str">
        <f>_xlfn.XLOOKUP(A272, opponents_table!F:F, opponents_table!B:B, "", 0)</f>
        <v>Youngster Joey</v>
      </c>
    </row>
    <row r="273" spans="1:2" x14ac:dyDescent="0.25">
      <c r="A273" t="s">
        <v>618</v>
      </c>
      <c r="B273" t="str">
        <f>_xlfn.XLOOKUP(A273, opponents_table!F:F, opponents_table!B:B, "", 0)</f>
        <v/>
      </c>
    </row>
    <row r="274" spans="1:2" x14ac:dyDescent="0.25">
      <c r="A274" t="s">
        <v>619</v>
      </c>
      <c r="B274" t="str">
        <f>_xlfn.XLOOKUP(A274, opponents_table!F:F, opponents_table!B:B, "", 0)</f>
        <v/>
      </c>
    </row>
    <row r="275" spans="1:2" x14ac:dyDescent="0.25">
      <c r="A275" t="s">
        <v>620</v>
      </c>
      <c r="B275" t="str">
        <f>_xlfn.XLOOKUP(A275, opponents_table!F:F, opponents_table!B:B, "", 0)</f>
        <v/>
      </c>
    </row>
    <row r="276" spans="1:2" x14ac:dyDescent="0.25">
      <c r="A276" t="s">
        <v>621</v>
      </c>
      <c r="B276" t="str">
        <f>_xlfn.XLOOKUP(A276, opponents_table!F:F, opponents_table!B:B, "", 0)</f>
        <v/>
      </c>
    </row>
    <row r="277" spans="1:2" x14ac:dyDescent="0.25">
      <c r="A277" t="s">
        <v>622</v>
      </c>
      <c r="B277" t="str">
        <f>_xlfn.XLOOKUP(A277, opponents_table!F:F, opponents_table!B:B, "", 0)</f>
        <v/>
      </c>
    </row>
    <row r="278" spans="1:2" x14ac:dyDescent="0.25">
      <c r="A278" t="s">
        <v>623</v>
      </c>
      <c r="B278" t="str">
        <f>_xlfn.XLOOKUP(A278, opponents_table!F:F, opponents_table!B:B, "", 0)</f>
        <v/>
      </c>
    </row>
    <row r="279" spans="1:2" x14ac:dyDescent="0.25">
      <c r="A279" t="s">
        <v>624</v>
      </c>
      <c r="B279" t="str">
        <f>_xlfn.XLOOKUP(A279, opponents_table!F:F, opponents_table!B:B, "", 0)</f>
        <v/>
      </c>
    </row>
    <row r="280" spans="1:2" x14ac:dyDescent="0.25">
      <c r="A280" t="s">
        <v>625</v>
      </c>
      <c r="B280" t="str">
        <f>_xlfn.XLOOKUP(A280, opponents_table!F:F, opponents_table!B:B, "", 0)</f>
        <v/>
      </c>
    </row>
    <row r="281" spans="1:2" x14ac:dyDescent="0.25">
      <c r="A281" t="s">
        <v>626</v>
      </c>
      <c r="B281" t="str">
        <f>_xlfn.XLOOKUP(A281, opponents_table!F:F, opponents_table!B:B, "", 0)</f>
        <v/>
      </c>
    </row>
    <row r="282" spans="1:2" x14ac:dyDescent="0.25">
      <c r="A282" t="s">
        <v>627</v>
      </c>
      <c r="B282" t="str">
        <f>_xlfn.XLOOKUP(A282, opponents_table!F:F, opponents_table!B:B, "", 0)</f>
        <v/>
      </c>
    </row>
    <row r="283" spans="1:2" x14ac:dyDescent="0.25">
      <c r="A283" t="s">
        <v>628</v>
      </c>
      <c r="B283" t="str">
        <f>_xlfn.XLOOKUP(A283, opponents_table!F:F, opponents_table!B:B, "", 0)</f>
        <v/>
      </c>
    </row>
    <row r="284" spans="1:2" x14ac:dyDescent="0.25">
      <c r="A284" t="s">
        <v>629</v>
      </c>
      <c r="B284" t="str">
        <f>_xlfn.XLOOKUP(A284, opponents_table!F:F, opponents_table!B:B, "", 0)</f>
        <v/>
      </c>
    </row>
    <row r="285" spans="1:2" x14ac:dyDescent="0.25">
      <c r="A285" t="s">
        <v>630</v>
      </c>
      <c r="B285" t="str">
        <f>_xlfn.XLOOKUP(A285, opponents_table!F:F, opponents_table!B:B, "", 0)</f>
        <v/>
      </c>
    </row>
    <row r="286" spans="1:2" x14ac:dyDescent="0.25">
      <c r="A286" t="s">
        <v>631</v>
      </c>
      <c r="B286" t="str">
        <f>_xlfn.XLOOKUP(A286, opponents_table!F:F, opponents_table!B:B, "", 0)</f>
        <v/>
      </c>
    </row>
    <row r="287" spans="1:2" x14ac:dyDescent="0.25">
      <c r="A287" t="s">
        <v>632</v>
      </c>
      <c r="B287" t="str">
        <f>_xlfn.XLOOKUP(A287, opponents_table!F:F, opponents_table!B:B, "", 0)</f>
        <v/>
      </c>
    </row>
    <row r="288" spans="1:2" x14ac:dyDescent="0.25">
      <c r="A288" t="s">
        <v>633</v>
      </c>
      <c r="B288" t="str">
        <f>_xlfn.XLOOKUP(A288, opponents_table!F:F, opponents_table!B:B, "", 0)</f>
        <v/>
      </c>
    </row>
    <row r="289" spans="1:2" x14ac:dyDescent="0.25">
      <c r="A289" t="s">
        <v>634</v>
      </c>
      <c r="B289" t="str">
        <f>_xlfn.XLOOKUP(A289, opponents_table!F:F, opponents_table!B:B, "", 0)</f>
        <v/>
      </c>
    </row>
    <row r="290" spans="1:2" x14ac:dyDescent="0.25">
      <c r="A290" t="s">
        <v>635</v>
      </c>
      <c r="B290" t="str">
        <f>_xlfn.XLOOKUP(A290, opponents_table!F:F, opponents_table!B:B, "", 0)</f>
        <v/>
      </c>
    </row>
    <row r="291" spans="1:2" x14ac:dyDescent="0.25">
      <c r="A291" t="s">
        <v>636</v>
      </c>
      <c r="B291" t="str">
        <f>_xlfn.XLOOKUP(A291, opponents_table!F:F, opponents_table!B:B, "", 0)</f>
        <v/>
      </c>
    </row>
    <row r="292" spans="1:2" x14ac:dyDescent="0.25">
      <c r="A292" t="s">
        <v>637</v>
      </c>
      <c r="B292" t="str">
        <f>_xlfn.XLOOKUP(A292, opponents_table!F:F, opponents_table!B:B, "", 0)</f>
        <v/>
      </c>
    </row>
    <row r="293" spans="1:2" x14ac:dyDescent="0.25">
      <c r="A293" t="s">
        <v>638</v>
      </c>
      <c r="B293" t="str">
        <f>_xlfn.XLOOKUP(A293, opponents_table!F:F, opponents_table!B:B, "", 0)</f>
        <v/>
      </c>
    </row>
    <row r="294" spans="1:2" x14ac:dyDescent="0.25">
      <c r="A294" t="s">
        <v>639</v>
      </c>
      <c r="B294" t="str">
        <f>_xlfn.XLOOKUP(A294, opponents_table!F:F, opponents_table!B:B, "", 0)</f>
        <v>Clown Glenn</v>
      </c>
    </row>
    <row r="295" spans="1:2" x14ac:dyDescent="0.25">
      <c r="A295" t="s">
        <v>640</v>
      </c>
      <c r="B295" t="str">
        <f>_xlfn.XLOOKUP(A295, opponents_table!F:F, opponents_table!B:B, "", 0)</f>
        <v/>
      </c>
    </row>
    <row r="296" spans="1:2" x14ac:dyDescent="0.25">
      <c r="A296" t="s">
        <v>641</v>
      </c>
      <c r="B296" t="str">
        <f>_xlfn.XLOOKUP(A296, opponents_table!F:F, opponents_table!B:B, "", 0)</f>
        <v/>
      </c>
    </row>
    <row r="297" spans="1:2" x14ac:dyDescent="0.25">
      <c r="A297" t="s">
        <v>642</v>
      </c>
      <c r="B297" t="str">
        <f>_xlfn.XLOOKUP(A297, opponents_table!F:F, opponents_table!B:B, "", 0)</f>
        <v/>
      </c>
    </row>
    <row r="298" spans="1:2" x14ac:dyDescent="0.25">
      <c r="A298" t="s">
        <v>643</v>
      </c>
      <c r="B298" t="str">
        <f>_xlfn.XLOOKUP(A298, opponents_table!F:F, opponents_table!B:B, "", 0)</f>
        <v/>
      </c>
    </row>
    <row r="299" spans="1:2" x14ac:dyDescent="0.25">
      <c r="A299" t="s">
        <v>644</v>
      </c>
      <c r="B299" t="str">
        <f>_xlfn.XLOOKUP(A299, opponents_table!F:F, opponents_table!B:B, "", 0)</f>
        <v/>
      </c>
    </row>
    <row r="300" spans="1:2" x14ac:dyDescent="0.25">
      <c r="A300" t="s">
        <v>645</v>
      </c>
      <c r="B300" t="str">
        <f>_xlfn.XLOOKUP(A300, opponents_table!F:F, opponents_table!B:B, "", 0)</f>
        <v/>
      </c>
    </row>
    <row r="301" spans="1:2" x14ac:dyDescent="0.25">
      <c r="A301" t="s">
        <v>646</v>
      </c>
      <c r="B301" t="str">
        <f>_xlfn.XLOOKUP(A301, opponents_table!F:F, opponents_table!B:B, "", 0)</f>
        <v/>
      </c>
    </row>
    <row r="302" spans="1:2" x14ac:dyDescent="0.25">
      <c r="A302" t="s">
        <v>647</v>
      </c>
      <c r="B302" t="str">
        <f>_xlfn.XLOOKUP(A302, opponents_table!F:F, opponents_table!B:B, "", 0)</f>
        <v/>
      </c>
    </row>
    <row r="303" spans="1:2" x14ac:dyDescent="0.25">
      <c r="A303" t="s">
        <v>648</v>
      </c>
      <c r="B303" t="str">
        <f>_xlfn.XLOOKUP(A303, opponents_table!F:F, opponents_table!B:B, "", 0)</f>
        <v>Fisherman John</v>
      </c>
    </row>
    <row r="304" spans="1:2" x14ac:dyDescent="0.25">
      <c r="A304" t="s">
        <v>649</v>
      </c>
      <c r="B304" t="str">
        <f>_xlfn.XLOOKUP(A304, opponents_table!F:F, opponents_table!B:B, "", 0)</f>
        <v/>
      </c>
    </row>
    <row r="305" spans="1:2" x14ac:dyDescent="0.25">
      <c r="A305" t="s">
        <v>650</v>
      </c>
      <c r="B305" t="str">
        <f>_xlfn.XLOOKUP(A305, opponents_table!F:F, opponents_table!B:B, "", 0)</f>
        <v/>
      </c>
    </row>
    <row r="306" spans="1:2" x14ac:dyDescent="0.25">
      <c r="A306" t="s">
        <v>651</v>
      </c>
      <c r="B306" t="str">
        <f>_xlfn.XLOOKUP(A306, opponents_table!F:F, opponents_table!B:B, "", 0)</f>
        <v/>
      </c>
    </row>
    <row r="307" spans="1:2" x14ac:dyDescent="0.25">
      <c r="A307" t="s">
        <v>652</v>
      </c>
      <c r="B307" t="str">
        <f>_xlfn.XLOOKUP(A307, opponents_table!F:F, opponents_table!B:B, "", 0)</f>
        <v/>
      </c>
    </row>
    <row r="308" spans="1:2" x14ac:dyDescent="0.25">
      <c r="A308" t="s">
        <v>653</v>
      </c>
      <c r="B308" t="str">
        <f>_xlfn.XLOOKUP(A308, opponents_table!F:F, opponents_table!B:B, "", 0)</f>
        <v/>
      </c>
    </row>
    <row r="309" spans="1:2" x14ac:dyDescent="0.25">
      <c r="A309" t="s">
        <v>654</v>
      </c>
      <c r="B309" t="str">
        <f>_xlfn.XLOOKUP(A309, opponents_table!F:F, opponents_table!B:B, "", 0)</f>
        <v/>
      </c>
    </row>
    <row r="310" spans="1:2" x14ac:dyDescent="0.25">
      <c r="A310" t="s">
        <v>655</v>
      </c>
      <c r="B310" t="str">
        <f>_xlfn.XLOOKUP(A310, opponents_table!F:F, opponents_table!B:B, "", 0)</f>
        <v/>
      </c>
    </row>
    <row r="311" spans="1:2" x14ac:dyDescent="0.25">
      <c r="A311" t="s">
        <v>656</v>
      </c>
      <c r="B311" t="str">
        <f>_xlfn.XLOOKUP(A311, opponents_table!F:F, opponents_table!B:B, "", 0)</f>
        <v/>
      </c>
    </row>
    <row r="312" spans="1:2" x14ac:dyDescent="0.25">
      <c r="A312" t="s">
        <v>657</v>
      </c>
      <c r="B312" t="str">
        <f>_xlfn.XLOOKUP(A312, opponents_table!F:F, opponents_table!B:B, "", 0)</f>
        <v/>
      </c>
    </row>
    <row r="313" spans="1:2" x14ac:dyDescent="0.25">
      <c r="A313" t="s">
        <v>658</v>
      </c>
      <c r="B313" t="str">
        <f>_xlfn.XLOOKUP(A313, opponents_table!F:F, opponents_table!B:B, "", 0)</f>
        <v/>
      </c>
    </row>
    <row r="314" spans="1:2" x14ac:dyDescent="0.25">
      <c r="A314" t="s">
        <v>659</v>
      </c>
      <c r="B314" t="str">
        <f>_xlfn.XLOOKUP(A314, opponents_table!F:F, opponents_table!B:B, "", 0)</f>
        <v/>
      </c>
    </row>
    <row r="315" spans="1:2" x14ac:dyDescent="0.25">
      <c r="A315" t="s">
        <v>660</v>
      </c>
      <c r="B315" t="str">
        <f>_xlfn.XLOOKUP(A315, opponents_table!F:F, opponents_table!B:B, "", 0)</f>
        <v>Engineer Brad</v>
      </c>
    </row>
    <row r="316" spans="1:2" x14ac:dyDescent="0.25">
      <c r="A316" t="s">
        <v>661</v>
      </c>
      <c r="B316" t="str">
        <f>_xlfn.XLOOKUP(A316, opponents_table!F:F, opponents_table!B:B, "", 0)</f>
        <v/>
      </c>
    </row>
    <row r="317" spans="1:2" x14ac:dyDescent="0.25">
      <c r="A317" t="s">
        <v>662</v>
      </c>
      <c r="B317" t="str">
        <f>_xlfn.XLOOKUP(A317, opponents_table!F:F, opponents_table!B:B, "", 0)</f>
        <v/>
      </c>
    </row>
    <row r="318" spans="1:2" x14ac:dyDescent="0.25">
      <c r="A318" t="s">
        <v>663</v>
      </c>
      <c r="B318" t="str">
        <f>_xlfn.XLOOKUP(A318, opponents_table!F:F, opponents_table!B:B, "", 0)</f>
        <v/>
      </c>
    </row>
    <row r="319" spans="1:2" x14ac:dyDescent="0.25">
      <c r="A319" t="s">
        <v>664</v>
      </c>
      <c r="B319" t="str">
        <f>_xlfn.XLOOKUP(A319, opponents_table!F:F, opponents_table!B:B, "", 0)</f>
        <v/>
      </c>
    </row>
    <row r="320" spans="1:2" x14ac:dyDescent="0.25">
      <c r="A320" t="s">
        <v>665</v>
      </c>
      <c r="B320" t="str">
        <f>_xlfn.XLOOKUP(A320, opponents_table!F:F, opponents_table!B:B, "", 0)</f>
        <v/>
      </c>
    </row>
    <row r="321" spans="1:2" x14ac:dyDescent="0.25">
      <c r="A321" t="s">
        <v>666</v>
      </c>
      <c r="B321" t="str">
        <f>_xlfn.XLOOKUP(A321, opponents_table!F:F, opponents_table!B:B, "", 0)</f>
        <v/>
      </c>
    </row>
    <row r="322" spans="1:2" x14ac:dyDescent="0.25">
      <c r="A322" t="s">
        <v>667</v>
      </c>
      <c r="B322" t="str">
        <f>_xlfn.XLOOKUP(A322, opponents_table!F:F, opponents_table!B:B, "", 0)</f>
        <v/>
      </c>
    </row>
    <row r="323" spans="1:2" x14ac:dyDescent="0.25">
      <c r="A323" t="s">
        <v>668</v>
      </c>
      <c r="B323" t="str">
        <f>_xlfn.XLOOKUP(A323, opponents_table!F:F, opponents_table!B:B, "", 0)</f>
        <v/>
      </c>
    </row>
    <row r="324" spans="1:2" x14ac:dyDescent="0.25">
      <c r="A324" t="s">
        <v>669</v>
      </c>
      <c r="B324" t="str">
        <f>_xlfn.XLOOKUP(A324, opponents_table!F:F, opponents_table!B:B, "", 0)</f>
        <v>Swimmer Todd</v>
      </c>
    </row>
    <row r="325" spans="1:2" x14ac:dyDescent="0.25">
      <c r="A325" t="s">
        <v>670</v>
      </c>
      <c r="B325" t="str">
        <f>_xlfn.XLOOKUP(A325, opponents_table!F:F, opponents_table!B:B, "", 0)</f>
        <v/>
      </c>
    </row>
    <row r="326" spans="1:2" x14ac:dyDescent="0.25">
      <c r="A326" t="s">
        <v>671</v>
      </c>
      <c r="B326" t="str">
        <f>_xlfn.XLOOKUP(A326, opponents_table!F:F, opponents_table!B:B, "", 0)</f>
        <v/>
      </c>
    </row>
    <row r="327" spans="1:2" x14ac:dyDescent="0.25">
      <c r="A327" t="s">
        <v>672</v>
      </c>
      <c r="B327" t="str">
        <f>_xlfn.XLOOKUP(A327, opponents_table!F:F, opponents_table!B:B, "", 0)</f>
        <v/>
      </c>
    </row>
    <row r="328" spans="1:2" x14ac:dyDescent="0.25">
      <c r="A328" t="s">
        <v>673</v>
      </c>
      <c r="B328" t="str">
        <f>_xlfn.XLOOKUP(A328, opponents_table!F:F, opponents_table!B:B, "", 0)</f>
        <v/>
      </c>
    </row>
    <row r="329" spans="1:2" x14ac:dyDescent="0.25">
      <c r="A329" t="s">
        <v>674</v>
      </c>
      <c r="B329" t="str">
        <f>_xlfn.XLOOKUP(A329, opponents_table!F:F, opponents_table!B:B, "", 0)</f>
        <v/>
      </c>
    </row>
    <row r="330" spans="1:2" x14ac:dyDescent="0.25">
      <c r="A330" t="s">
        <v>675</v>
      </c>
      <c r="B330" t="str">
        <f>_xlfn.XLOOKUP(A330, opponents_table!F:F, opponents_table!B:B, "", 0)</f>
        <v/>
      </c>
    </row>
    <row r="331" spans="1:2" x14ac:dyDescent="0.25">
      <c r="A331" t="s">
        <v>676</v>
      </c>
      <c r="B331" t="str">
        <f>_xlfn.XLOOKUP(A331, opponents_table!F:F, opponents_table!B:B, "", 0)</f>
        <v/>
      </c>
    </row>
    <row r="332" spans="1:2" x14ac:dyDescent="0.25">
      <c r="A332" t="s">
        <v>677</v>
      </c>
      <c r="B332" t="str">
        <f>_xlfn.XLOOKUP(A332, opponents_table!F:F, opponents_table!B:B, "", 0)</f>
        <v/>
      </c>
    </row>
    <row r="333" spans="1:2" x14ac:dyDescent="0.25">
      <c r="A333" t="s">
        <v>678</v>
      </c>
      <c r="B333" t="str">
        <f>_xlfn.XLOOKUP(A333, opponents_table!F:F, opponents_table!B:B, "", 0)</f>
        <v/>
      </c>
    </row>
    <row r="334" spans="1:2" x14ac:dyDescent="0.25">
      <c r="A334" t="s">
        <v>679</v>
      </c>
      <c r="B334" t="str">
        <f>_xlfn.XLOOKUP(A334, opponents_table!F:F, opponents_table!B:B, "", 0)</f>
        <v/>
      </c>
    </row>
    <row r="335" spans="1:2" x14ac:dyDescent="0.25">
      <c r="A335" t="s">
        <v>680</v>
      </c>
      <c r="B335" t="str">
        <f>_xlfn.XLOOKUP(A335, opponents_table!F:F, opponents_table!B:B, "", 0)</f>
        <v/>
      </c>
    </row>
    <row r="336" spans="1:2" x14ac:dyDescent="0.25">
      <c r="A336" t="s">
        <v>681</v>
      </c>
      <c r="B336" t="str">
        <f>_xlfn.XLOOKUP(A336, opponents_table!F:F, opponents_table!B:B, "", 0)</f>
        <v/>
      </c>
    </row>
    <row r="337" spans="1:2" x14ac:dyDescent="0.25">
      <c r="A337" t="s">
        <v>682</v>
      </c>
      <c r="B337" t="str">
        <f>_xlfn.XLOOKUP(A337, opponents_table!F:F, opponents_table!B:B, "", 0)</f>
        <v/>
      </c>
    </row>
    <row r="338" spans="1:2" x14ac:dyDescent="0.25">
      <c r="A338" t="s">
        <v>683</v>
      </c>
      <c r="B338" t="str">
        <f>_xlfn.XLOOKUP(A338, opponents_table!F:F, opponents_table!B:B, "", 0)</f>
        <v/>
      </c>
    </row>
    <row r="339" spans="1:2" x14ac:dyDescent="0.25">
      <c r="A339" t="s">
        <v>684</v>
      </c>
      <c r="B339" t="str">
        <f>_xlfn.XLOOKUP(A339, opponents_table!F:F, opponents_table!B:B, "", 0)</f>
        <v/>
      </c>
    </row>
    <row r="340" spans="1:2" x14ac:dyDescent="0.25">
      <c r="A340" t="s">
        <v>685</v>
      </c>
      <c r="B340" t="str">
        <f>_xlfn.XLOOKUP(A340, opponents_table!F:F, opponents_table!B:B, "", 0)</f>
        <v/>
      </c>
    </row>
    <row r="341" spans="1:2" x14ac:dyDescent="0.25">
      <c r="A341" t="s">
        <v>686</v>
      </c>
      <c r="B341" t="str">
        <f>_xlfn.XLOOKUP(A341, opponents_table!F:F, opponents_table!B:B, "", 0)</f>
        <v/>
      </c>
    </row>
    <row r="342" spans="1:2" x14ac:dyDescent="0.25">
      <c r="A342" t="s">
        <v>687</v>
      </c>
      <c r="B342" t="str">
        <f>_xlfn.XLOOKUP(A342, opponents_table!F:F, opponents_table!B:B, "", 0)</f>
        <v>Clown Hubert</v>
      </c>
    </row>
    <row r="343" spans="1:2" x14ac:dyDescent="0.25">
      <c r="A343" t="s">
        <v>688</v>
      </c>
      <c r="B343" t="str">
        <f>_xlfn.XLOOKUP(A343, opponents_table!F:F, opponents_table!B:B, "", 0)</f>
        <v/>
      </c>
    </row>
    <row r="344" spans="1:2" x14ac:dyDescent="0.25">
      <c r="A344" t="s">
        <v>689</v>
      </c>
      <c r="B344" t="str">
        <f>_xlfn.XLOOKUP(A344, opponents_table!F:F, opponents_table!B:B, "", 0)</f>
        <v/>
      </c>
    </row>
    <row r="345" spans="1:2" x14ac:dyDescent="0.25">
      <c r="A345" t="s">
        <v>690</v>
      </c>
      <c r="B345" t="str">
        <f>_xlfn.XLOOKUP(A345, opponents_table!F:F, opponents_table!B:B, "", 0)</f>
        <v>Garden Manager Louis</v>
      </c>
    </row>
    <row r="346" spans="1:2" x14ac:dyDescent="0.25">
      <c r="A346" t="s">
        <v>691</v>
      </c>
      <c r="B346" t="str">
        <f>_xlfn.XLOOKUP(A346, opponents_table!F:F, opponents_table!B:B, "", 0)</f>
        <v/>
      </c>
    </row>
    <row r="347" spans="1:2" x14ac:dyDescent="0.25">
      <c r="A347" t="s">
        <v>692</v>
      </c>
      <c r="B347" t="str">
        <f>_xlfn.XLOOKUP(A347, opponents_table!F:F, opponents_table!B:B, "", 0)</f>
        <v/>
      </c>
    </row>
    <row r="348" spans="1:2" x14ac:dyDescent="0.25">
      <c r="A348" t="s">
        <v>693</v>
      </c>
      <c r="B348" t="str">
        <f>_xlfn.XLOOKUP(A348, opponents_table!F:F, opponents_table!B:B, "", 0)</f>
        <v/>
      </c>
    </row>
    <row r="349" spans="1:2" x14ac:dyDescent="0.25">
      <c r="A349" t="s">
        <v>694</v>
      </c>
      <c r="B349" t="str">
        <f>_xlfn.XLOOKUP(A349, opponents_table!F:F, opponents_table!B:B, "", 0)</f>
        <v>Engineer Allan</v>
      </c>
    </row>
    <row r="350" spans="1:2" x14ac:dyDescent="0.25">
      <c r="A350" t="s">
        <v>695</v>
      </c>
      <c r="B350" t="str">
        <f>_xlfn.XLOOKUP(A350, opponents_table!F:F, opponents_table!B:B, "", 0)</f>
        <v/>
      </c>
    </row>
    <row r="351" spans="1:2" x14ac:dyDescent="0.25">
      <c r="A351" t="s">
        <v>696</v>
      </c>
      <c r="B351" t="str">
        <f>_xlfn.XLOOKUP(A351, opponents_table!F:F, opponents_table!B:B, "", 0)</f>
        <v/>
      </c>
    </row>
    <row r="352" spans="1:2" x14ac:dyDescent="0.25">
      <c r="A352" t="s">
        <v>697</v>
      </c>
      <c r="B352" t="str">
        <f>_xlfn.XLOOKUP(A352, opponents_table!F:F, opponents_table!B:B, "", 0)</f>
        <v>Sailor Bob</v>
      </c>
    </row>
    <row r="353" spans="1:2" x14ac:dyDescent="0.25">
      <c r="A353" t="s">
        <v>698</v>
      </c>
      <c r="B353" t="str">
        <f>_xlfn.XLOOKUP(A353, opponents_table!F:F, opponents_table!B:B, "", 0)</f>
        <v/>
      </c>
    </row>
    <row r="354" spans="1:2" x14ac:dyDescent="0.25">
      <c r="A354" t="s">
        <v>699</v>
      </c>
      <c r="B354" t="str">
        <f>_xlfn.XLOOKUP(A354, opponents_table!F:F, opponents_table!B:B, "", 0)</f>
        <v/>
      </c>
    </row>
    <row r="355" spans="1:2" x14ac:dyDescent="0.25">
      <c r="A355" t="s">
        <v>700</v>
      </c>
      <c r="B355" t="str">
        <f>_xlfn.XLOOKUP(A355, opponents_table!F:F, opponents_table!B:B, "", 0)</f>
        <v>Bad Dude Wayne</v>
      </c>
    </row>
    <row r="356" spans="1:2" x14ac:dyDescent="0.25">
      <c r="A356" t="s">
        <v>701</v>
      </c>
      <c r="B356" t="str">
        <f>_xlfn.XLOOKUP(A356, opponents_table!F:F, opponents_table!B:B, "", 0)</f>
        <v>Card Elder Waverly</v>
      </c>
    </row>
    <row r="357" spans="1:2" x14ac:dyDescent="0.25">
      <c r="A357" t="s">
        <v>702</v>
      </c>
      <c r="B357" t="str">
        <f>_xlfn.XLOOKUP(A357, opponents_table!F:F, opponents_table!B:B, "", 0)</f>
        <v/>
      </c>
    </row>
    <row r="358" spans="1:2" x14ac:dyDescent="0.25">
      <c r="A358" t="s">
        <v>703</v>
      </c>
      <c r="B358" t="str">
        <f>_xlfn.XLOOKUP(A358, opponents_table!F:F, opponents_table!B:B, "", 0)</f>
        <v/>
      </c>
    </row>
    <row r="359" spans="1:2" x14ac:dyDescent="0.25">
      <c r="A359" t="s">
        <v>704</v>
      </c>
      <c r="B359" t="str">
        <f>_xlfn.XLOOKUP(A359, opponents_table!F:F, opponents_table!B:B, "", 0)</f>
        <v/>
      </c>
    </row>
    <row r="360" spans="1:2" x14ac:dyDescent="0.25">
      <c r="A360" t="s">
        <v>705</v>
      </c>
      <c r="B360" t="str">
        <f>_xlfn.XLOOKUP(A360, opponents_table!F:F, opponents_table!B:B, "", 0)</f>
        <v/>
      </c>
    </row>
    <row r="361" spans="1:2" x14ac:dyDescent="0.25">
      <c r="A361" t="s">
        <v>706</v>
      </c>
      <c r="B361" t="str">
        <f>_xlfn.XLOOKUP(A361, opponents_table!F:F, opponents_table!B:B, "", 0)</f>
        <v/>
      </c>
    </row>
    <row r="362" spans="1:2" x14ac:dyDescent="0.25">
      <c r="A362" t="s">
        <v>707</v>
      </c>
      <c r="B362" t="str">
        <f>_xlfn.XLOOKUP(A362, opponents_table!F:F, opponents_table!B:B, "", 0)</f>
        <v/>
      </c>
    </row>
    <row r="363" spans="1:2" x14ac:dyDescent="0.25">
      <c r="A363" t="s">
        <v>708</v>
      </c>
      <c r="B363" t="str">
        <f>_xlfn.XLOOKUP(A363, opponents_table!F:F, opponents_table!B:B, "", 0)</f>
        <v/>
      </c>
    </row>
    <row r="364" spans="1:2" x14ac:dyDescent="0.25">
      <c r="A364" t="s">
        <v>709</v>
      </c>
      <c r="B364" t="str">
        <f>_xlfn.XLOOKUP(A364, opponents_table!F:F, opponents_table!B:B, "", 0)</f>
        <v/>
      </c>
    </row>
    <row r="365" spans="1:2" x14ac:dyDescent="0.25">
      <c r="A365" t="s">
        <v>710</v>
      </c>
      <c r="B365" t="str">
        <f>_xlfn.XLOOKUP(A365, opponents_table!F:F, opponents_table!B:B, "", 0)</f>
        <v/>
      </c>
    </row>
    <row r="366" spans="1:2" x14ac:dyDescent="0.25">
      <c r="A366" t="s">
        <v>711</v>
      </c>
      <c r="B366" t="str">
        <f>_xlfn.XLOOKUP(A366, opponents_table!F:F, opponents_table!B:B, "", 0)</f>
        <v/>
      </c>
    </row>
    <row r="367" spans="1:2" x14ac:dyDescent="0.25">
      <c r="A367" t="s">
        <v>712</v>
      </c>
      <c r="B367" t="str">
        <f>_xlfn.XLOOKUP(A367, opponents_table!F:F, opponents_table!B:B, "", 0)</f>
        <v/>
      </c>
    </row>
    <row r="368" spans="1:2" x14ac:dyDescent="0.25">
      <c r="A368" t="s">
        <v>713</v>
      </c>
      <c r="B368" t="str">
        <f>_xlfn.XLOOKUP(A368, opponents_table!F:F, opponents_table!B:B, "", 0)</f>
        <v/>
      </c>
    </row>
    <row r="369" spans="1:2" x14ac:dyDescent="0.25">
      <c r="A369" t="s">
        <v>714</v>
      </c>
      <c r="B369" t="str">
        <f>_xlfn.XLOOKUP(A369, opponents_table!F:F, opponents_table!B:B, "", 0)</f>
        <v/>
      </c>
    </row>
    <row r="370" spans="1:2" x14ac:dyDescent="0.25">
      <c r="A370" t="s">
        <v>715</v>
      </c>
      <c r="B370" t="str">
        <f>_xlfn.XLOOKUP(A370, opponents_table!F:F, opponents_table!B:B, "", 0)</f>
        <v>Gym Hero Misty</v>
      </c>
    </row>
    <row r="371" spans="1:2" x14ac:dyDescent="0.25">
      <c r="A371" t="s">
        <v>716</v>
      </c>
      <c r="B371" t="str">
        <f>_xlfn.XLOOKUP(A371, opponents_table!F:F, opponents_table!B:B, "", 0)</f>
        <v/>
      </c>
    </row>
    <row r="372" spans="1:2" x14ac:dyDescent="0.25">
      <c r="A372" t="s">
        <v>717</v>
      </c>
      <c r="B372" t="str">
        <f>_xlfn.XLOOKUP(A372, opponents_table!F:F, opponents_table!B:B, "", 0)</f>
        <v>Gym Hero Blaine</v>
      </c>
    </row>
    <row r="373" spans="1:2" x14ac:dyDescent="0.25">
      <c r="A373" t="s">
        <v>718</v>
      </c>
      <c r="B373" t="str">
        <f>_xlfn.XLOOKUP(A373, opponents_table!F:F, opponents_table!B:B, "", 0)</f>
        <v/>
      </c>
    </row>
    <row r="374" spans="1:2" x14ac:dyDescent="0.25">
      <c r="A374" t="s">
        <v>719</v>
      </c>
      <c r="B374" t="str">
        <f>_xlfn.XLOOKUP(A374, opponents_table!F:F, opponents_table!B:B, "", 0)</f>
        <v/>
      </c>
    </row>
    <row r="375" spans="1:2" x14ac:dyDescent="0.25">
      <c r="A375" t="s">
        <v>720</v>
      </c>
      <c r="B375" t="str">
        <f>_xlfn.XLOOKUP(A375, opponents_table!F:F, opponents_table!B:B, "", 0)</f>
        <v/>
      </c>
    </row>
    <row r="376" spans="1:2" x14ac:dyDescent="0.25">
      <c r="A376" t="s">
        <v>721</v>
      </c>
      <c r="B376" t="str">
        <f>_xlfn.XLOOKUP(A376, opponents_table!F:F, opponents_table!B:B, "", 0)</f>
        <v>Gym Hero Brock</v>
      </c>
    </row>
    <row r="377" spans="1:2" x14ac:dyDescent="0.25">
      <c r="A377" t="s">
        <v>722</v>
      </c>
      <c r="B377" t="str">
        <f>_xlfn.XLOOKUP(A377, opponents_table!F:F, opponents_table!B:B, "", 0)</f>
        <v>Gym Hero Koga</v>
      </c>
    </row>
    <row r="378" spans="1:2" x14ac:dyDescent="0.25">
      <c r="A378" t="s">
        <v>723</v>
      </c>
      <c r="B378" t="str">
        <f>_xlfn.XLOOKUP(A378, opponents_table!F:F, opponents_table!B:B, "", 0)</f>
        <v/>
      </c>
    </row>
    <row r="379" spans="1:2" x14ac:dyDescent="0.25">
      <c r="A379" t="s">
        <v>724</v>
      </c>
      <c r="B379" t="str">
        <f>_xlfn.XLOOKUP(A379, opponents_table!F:F, opponents_table!B:B, "", 0)</f>
        <v/>
      </c>
    </row>
    <row r="380" spans="1:2" x14ac:dyDescent="0.25">
      <c r="A380" t="s">
        <v>725</v>
      </c>
      <c r="B380" t="str">
        <f>_xlfn.XLOOKUP(A380, opponents_table!F:F, opponents_table!B:B, "", 0)</f>
        <v>Gym Hero Sabrina</v>
      </c>
    </row>
    <row r="381" spans="1:2" x14ac:dyDescent="0.25">
      <c r="A381" t="s">
        <v>726</v>
      </c>
      <c r="B381" t="str">
        <f>_xlfn.XLOOKUP(A381, opponents_table!F:F, opponents_table!B:B, "", 0)</f>
        <v/>
      </c>
    </row>
    <row r="382" spans="1:2" x14ac:dyDescent="0.25">
      <c r="A382" t="s">
        <v>727</v>
      </c>
      <c r="B382" t="str">
        <f>_xlfn.XLOOKUP(A382, opponents_table!F:F, opponents_table!B:B, "", 0)</f>
        <v/>
      </c>
    </row>
    <row r="383" spans="1:2" x14ac:dyDescent="0.25">
      <c r="A383" t="s">
        <v>728</v>
      </c>
      <c r="B383" t="str">
        <f>_xlfn.XLOOKUP(A383, opponents_table!F:F, opponents_table!B:B, "", 0)</f>
        <v/>
      </c>
    </row>
    <row r="384" spans="1:2" x14ac:dyDescent="0.25">
      <c r="A384" t="s">
        <v>729</v>
      </c>
      <c r="B384" t="str">
        <f>_xlfn.XLOOKUP(A384, opponents_table!F:F, opponents_table!B:B, "", 0)</f>
        <v/>
      </c>
    </row>
    <row r="385" spans="1:2" x14ac:dyDescent="0.25">
      <c r="A385" t="s">
        <v>730</v>
      </c>
      <c r="B385" t="str">
        <f>_xlfn.XLOOKUP(A385, opponents_table!F:F, opponents_table!B:B, "", 0)</f>
        <v/>
      </c>
    </row>
    <row r="386" spans="1:2" x14ac:dyDescent="0.25">
      <c r="A386" t="s">
        <v>731</v>
      </c>
      <c r="B386" t="str">
        <f>_xlfn.XLOOKUP(A386, opponents_table!F:F, opponents_table!B:B, "", 0)</f>
        <v/>
      </c>
    </row>
    <row r="387" spans="1:2" x14ac:dyDescent="0.25">
      <c r="A387" t="s">
        <v>732</v>
      </c>
      <c r="B387" t="str">
        <f>_xlfn.XLOOKUP(A387, opponents_table!F:F, opponents_table!B:B, "", 0)</f>
        <v/>
      </c>
    </row>
    <row r="388" spans="1:2" x14ac:dyDescent="0.25">
      <c r="A388" t="s">
        <v>733</v>
      </c>
      <c r="B388" t="str">
        <f>_xlfn.XLOOKUP(A388, opponents_table!F:F, opponents_table!B:B, "", 0)</f>
        <v>Gym Hero Giovanni</v>
      </c>
    </row>
    <row r="389" spans="1:2" x14ac:dyDescent="0.25">
      <c r="A389" t="s">
        <v>734</v>
      </c>
      <c r="B389" t="str">
        <f>_xlfn.XLOOKUP(A389, opponents_table!F:F, opponents_table!B:B, "", 0)</f>
        <v/>
      </c>
    </row>
    <row r="390" spans="1:2" x14ac:dyDescent="0.25">
      <c r="A390" t="s">
        <v>735</v>
      </c>
      <c r="B390" t="str">
        <f>_xlfn.XLOOKUP(A390, opponents_table!F:F, opponents_table!B:B, "", 0)</f>
        <v>Rocket Boss Giovanni</v>
      </c>
    </row>
    <row r="391" spans="1:2" x14ac:dyDescent="0.25">
      <c r="A391" t="s">
        <v>736</v>
      </c>
      <c r="B391" t="str">
        <f>_xlfn.XLOOKUP(A391, opponents_table!F:F, opponents_table!B:B, "", 0)</f>
        <v/>
      </c>
    </row>
    <row r="392" spans="1:2" x14ac:dyDescent="0.25">
      <c r="A392" t="s">
        <v>737</v>
      </c>
      <c r="B392" t="str">
        <f>_xlfn.XLOOKUP(A392, opponents_table!F:F, opponents_table!B:B, "", 0)</f>
        <v/>
      </c>
    </row>
    <row r="393" spans="1:2" x14ac:dyDescent="0.25">
      <c r="A393" t="s">
        <v>738</v>
      </c>
      <c r="B393" t="str">
        <f>_xlfn.XLOOKUP(A393, opponents_table!F:F, opponents_table!B:B, "", 0)</f>
        <v/>
      </c>
    </row>
    <row r="394" spans="1:2" x14ac:dyDescent="0.25">
      <c r="A394" t="s">
        <v>739</v>
      </c>
      <c r="B394" t="str">
        <f>_xlfn.XLOOKUP(A394, opponents_table!F:F, opponents_table!B:B, "", 0)</f>
        <v>Gym Hero Lt. Surge</v>
      </c>
    </row>
    <row r="395" spans="1:2" x14ac:dyDescent="0.25">
      <c r="A395" t="s">
        <v>740</v>
      </c>
      <c r="B395" t="str">
        <f>_xlfn.XLOOKUP(A395, opponents_table!F:F, opponents_table!B:B, "", 0)</f>
        <v/>
      </c>
    </row>
    <row r="396" spans="1:2" x14ac:dyDescent="0.25">
      <c r="A396" t="s">
        <v>741</v>
      </c>
      <c r="B396" t="str">
        <f>_xlfn.XLOOKUP(A396, opponents_table!F:F, opponents_table!B:B, "", 0)</f>
        <v/>
      </c>
    </row>
    <row r="397" spans="1:2" x14ac:dyDescent="0.25">
      <c r="A397" t="s">
        <v>742</v>
      </c>
      <c r="B397" t="str">
        <f>_xlfn.XLOOKUP(A397, opponents_table!F:F, opponents_table!B:B, "", 0)</f>
        <v/>
      </c>
    </row>
    <row r="398" spans="1:2" x14ac:dyDescent="0.25">
      <c r="A398" t="s">
        <v>743</v>
      </c>
      <c r="B398" t="str">
        <f>_xlfn.XLOOKUP(A398, opponents_table!F:F, opponents_table!B:B, "", 0)</f>
        <v/>
      </c>
    </row>
    <row r="399" spans="1:2" x14ac:dyDescent="0.25">
      <c r="A399" t="s">
        <v>744</v>
      </c>
      <c r="B399" t="str">
        <f>_xlfn.XLOOKUP(A399, opponents_table!F:F, opponents_table!B:B, "", 0)</f>
        <v/>
      </c>
    </row>
    <row r="400" spans="1:2" x14ac:dyDescent="0.25">
      <c r="A400" t="s">
        <v>745</v>
      </c>
      <c r="B400" t="str">
        <f>_xlfn.XLOOKUP(A400, opponents_table!F:F, opponents_table!B:B, "", 0)</f>
        <v/>
      </c>
    </row>
    <row r="401" spans="1:2" x14ac:dyDescent="0.25">
      <c r="A401" t="s">
        <v>746</v>
      </c>
      <c r="B401" t="str">
        <f>_xlfn.XLOOKUP(A401, opponents_table!F:F, opponents_table!B:B, "", 0)</f>
        <v/>
      </c>
    </row>
    <row r="402" spans="1:2" x14ac:dyDescent="0.25">
      <c r="A402" t="s">
        <v>747</v>
      </c>
      <c r="B402" t="str">
        <f>_xlfn.XLOOKUP(A402, opponents_table!F:F, opponents_table!B:B, "", 0)</f>
        <v/>
      </c>
    </row>
    <row r="403" spans="1:2" x14ac:dyDescent="0.25">
      <c r="A403" t="s">
        <v>748</v>
      </c>
      <c r="B403" t="str">
        <f>_xlfn.XLOOKUP(A403, opponents_table!F:F, opponents_table!B:B, "", 0)</f>
        <v/>
      </c>
    </row>
    <row r="404" spans="1:2" x14ac:dyDescent="0.25">
      <c r="A404" t="s">
        <v>749</v>
      </c>
      <c r="B404" t="str">
        <f>_xlfn.XLOOKUP(A404, opponents_table!F:F, opponents_table!B:B, "", 0)</f>
        <v>Gym Hero Erika</v>
      </c>
    </row>
    <row r="405" spans="1:2" x14ac:dyDescent="0.25">
      <c r="A405" t="s">
        <v>750</v>
      </c>
      <c r="B405" t="str">
        <f>_xlfn.XLOOKUP(A405, opponents_table!F:F, opponents_table!B:B, "", 0)</f>
        <v/>
      </c>
    </row>
    <row r="406" spans="1:2" x14ac:dyDescent="0.25">
      <c r="A406" t="s">
        <v>751</v>
      </c>
      <c r="B406" t="str">
        <f>_xlfn.XLOOKUP(A406, opponents_table!F:F, opponents_table!B:B, "", 0)</f>
        <v/>
      </c>
    </row>
    <row r="407" spans="1:2" x14ac:dyDescent="0.25">
      <c r="A407" t="s">
        <v>752</v>
      </c>
      <c r="B407" t="str">
        <f>_xlfn.XLOOKUP(A407, opponents_table!F:F, opponents_table!B:B, "", 0)</f>
        <v/>
      </c>
    </row>
    <row r="408" spans="1:2" x14ac:dyDescent="0.25">
      <c r="A408" t="s">
        <v>753</v>
      </c>
      <c r="B408" t="str">
        <f>_xlfn.XLOOKUP(A408, opponents_table!F:F, opponents_table!B:B, "", 0)</f>
        <v/>
      </c>
    </row>
    <row r="409" spans="1:2" x14ac:dyDescent="0.25">
      <c r="A409" t="s">
        <v>754</v>
      </c>
      <c r="B409" t="str">
        <f>_xlfn.XLOOKUP(A409, opponents_table!F:F, opponents_table!B:B, "", 0)</f>
        <v/>
      </c>
    </row>
    <row r="410" spans="1:2" x14ac:dyDescent="0.25">
      <c r="A410" t="s">
        <v>755</v>
      </c>
      <c r="B410" t="str">
        <f>_xlfn.XLOOKUP(A410, opponents_table!F:F, opponents_table!B:B, "", 0)</f>
        <v/>
      </c>
    </row>
    <row r="411" spans="1:2" x14ac:dyDescent="0.25">
      <c r="A411" t="s">
        <v>756</v>
      </c>
      <c r="B411" t="str">
        <f>_xlfn.XLOOKUP(A411, opponents_table!F:F, opponents_table!B:B, "", 0)</f>
        <v/>
      </c>
    </row>
    <row r="412" spans="1:2" x14ac:dyDescent="0.25">
      <c r="A412" t="s">
        <v>757</v>
      </c>
      <c r="B412" t="str">
        <f>_xlfn.XLOOKUP(A412, opponents_table!F:F, opponents_table!B:B, "", 0)</f>
        <v/>
      </c>
    </row>
    <row r="413" spans="1:2" x14ac:dyDescent="0.25">
      <c r="A413" t="s">
        <v>758</v>
      </c>
      <c r="B413" t="str">
        <f>_xlfn.XLOOKUP(A413, opponents_table!F:F, opponents_table!B:B, "", 0)</f>
        <v/>
      </c>
    </row>
    <row r="414" spans="1:2" x14ac:dyDescent="0.25">
      <c r="A414" t="s">
        <v>759</v>
      </c>
      <c r="B414" t="str">
        <f>_xlfn.XLOOKUP(A414, opponents_table!F:F, opponents_table!B:B, "", 0)</f>
        <v/>
      </c>
    </row>
    <row r="415" spans="1:2" x14ac:dyDescent="0.25">
      <c r="A415" t="s">
        <v>760</v>
      </c>
      <c r="B415" t="str">
        <f>_xlfn.XLOOKUP(A415, opponents_table!F:F, opponents_table!B:B, "", 0)</f>
        <v/>
      </c>
    </row>
    <row r="416" spans="1:2" x14ac:dyDescent="0.25">
      <c r="A416" t="s">
        <v>761</v>
      </c>
      <c r="B416" t="str">
        <f>_xlfn.XLOOKUP(A416, opponents_table!F:F, opponents_table!B:B, "", 0)</f>
        <v/>
      </c>
    </row>
    <row r="417" spans="1:2" x14ac:dyDescent="0.25">
      <c r="A417" t="s">
        <v>762</v>
      </c>
      <c r="B417" t="str">
        <f>_xlfn.XLOOKUP(A417, opponents_table!F:F, opponents_table!B:B, "", 0)</f>
        <v/>
      </c>
    </row>
    <row r="418" spans="1:2" x14ac:dyDescent="0.25">
      <c r="A418" t="s">
        <v>763</v>
      </c>
      <c r="B418" t="str">
        <f>_xlfn.XLOOKUP(A418, opponents_table!F:F, opponents_table!B:B, "", 0)</f>
        <v/>
      </c>
    </row>
    <row r="419" spans="1:2" x14ac:dyDescent="0.25">
      <c r="A419" t="s">
        <v>764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2026-05-28T15:00:10Z</dcterms:modified>
</cp:coreProperties>
</file>
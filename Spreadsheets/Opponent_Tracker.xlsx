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CACABE78-0519-4D16-9DA4-C8BA82683671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8" i="1" l="1"/>
  <c r="D117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40" i="1"/>
  <c r="D139" i="1"/>
  <c r="D138" i="1"/>
  <c r="D137" i="1"/>
  <c r="D136" i="1"/>
  <c r="D135" i="1"/>
  <c r="D134" i="1"/>
  <c r="D133" i="1"/>
  <c r="D131" i="1"/>
  <c r="D130" i="1"/>
  <c r="D129" i="1"/>
  <c r="D128" i="1"/>
  <c r="D127" i="1"/>
  <c r="D126" i="1"/>
  <c r="D125" i="1"/>
  <c r="D124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<sst xmlns="http://schemas.openxmlformats.org/spreadsheetml/2006/main" count="2269" uniqueCount="863">
  <si>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</si>
  <si>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</si>
  <si>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</si>
  <si>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</si>
  <si>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</si>
  <si>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</si>
  <si>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</si>
  <si>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</si>
  <si>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</si>
  <si>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</si>
  <si>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</si>
  <si>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</si>
  <si>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</si>
  <si>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</si>
  <si>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</si>
  <si>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</si>
  <si>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</si>
  <si>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</si>
  <si>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</si>
  <si>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</si>
  <si>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</si>
  <si>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</si>
  <si>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</si>
  <si>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</si>
  <si>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</si>
  <si>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</si>
  <si>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</si>
  <si>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</si>
  <si>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</si>
  <si>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</si>
  <si>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</si>
  <si>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</si>
  <si>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</si>
  <si>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</si>
  <si>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</si>
  <si>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</si>
  <si>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</si>
  <si>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</si>
  <si>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</si>
  <si>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</si>
  <si>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</si>
  <si>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</si>
  <si>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</si>
  <si>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</si>
  <si>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</si>
  <si>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</si>
  <si>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</si>
  <si>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</si>
  <si>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</si>
  <si>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</si>
  <si>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</si>
  <si>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</si>
  <si>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</si>
  <si>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</si>
  <si>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</si>
  <si>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</si>
  <si>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</si>
  <si>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</si>
  <si>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</si>
  <si>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</si>
  <si>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</si>
  <si>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</si>
  <si>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</si>
  <si>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</si>
  <si>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</si>
  <si>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</si>
  <si>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</si>
  <si>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</si>
  <si>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</si>
  <si>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</si>
  <si>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</si>
  <si>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</si>
  <si>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</si>
  <si>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</si>
  <si>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</si>
  <si>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</si>
  <si>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</si>
  <si>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</si>
  <si>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</si>
  <si>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</si>
  <si>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</si>
  <si>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</si>
  <si>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</si>
  <si>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</si>
  <si>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</si>
  <si>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</si>
  <si>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</si>
  <si>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</si>
  <si>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</si>
  <si>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</si>
  <si>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</si>
  <si>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</si>
  <si>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</si>
  <si>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</si>
  <si>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</si>
  <si>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</si>
  <si>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</si>
  <si>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</si>
  <si>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</si>
  <si>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</si>
  <si>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</si>
  <si>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</si>
  <si>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</si>
  <si>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</si>
  <si>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</si>
  <si>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</si>
  <si>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</si>
  <si>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</si>
  <si>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</si>
  <si>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</si>
  <si>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</si>
  <si>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</si>
  <si>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</si>
  <si>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</si>
  <si>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</si>
  <si>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</si>
  <si>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</si>
  <si>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</si>
  <si>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</si>
  <si>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</si>
  <si>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</si>
  <si>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</si>
  <si>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</si>
  <si>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</si>
  <si>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</si>
  <si>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</si>
  <si>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</si>
  <si>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</si>
  <si>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</si>
  <si>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</si>
  <si>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</si>
  <si>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</si>
  <si>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</si>
  <si>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</si>
  <si>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</si>
  <si>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</si>
  <si>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</si>
  <si>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</si>
  <si>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</si>
  <si>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</si>
  <si>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</si>
  <si>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</si>
  <si>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</si>
  <si>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</si>
  <si>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</si>
  <si>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</si>
  <si>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</si>
  <si>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</si>
  <si>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</si>
  <si>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</si>
  <si>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</si>
  <si>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</si>
  <si>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</si>
  <si>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</si>
  <si>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</si>
  <si>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</si>
  <si>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</si>
  <si>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</si>
  <si>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</si>
  <si>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</si>
  <si>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</si>
  <si>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</si>
  <si>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</si>
  <si>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</si>
  <si>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</si>
  <si>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</si>
  <si>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</si>
  <si>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</si>
  <si>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</si>
  <si>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</si>
  <si>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</si>
  <si>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</si>
  <si>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</si>
  <si>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</si>
  <si>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</si>
  <si>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</si>
  <si>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</si>
  <si>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</si>
  <si>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</si>
  <si>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</si>
  <si>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</si>
  <si>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</si>
  <si>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</si>
  <si>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</si>
  <si>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</si>
  <si>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</si>
  <si>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</si>
  <si>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</si>
  <si>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</si>
  <si>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</si>
  <si>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</si>
  <si>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</si>
  <si>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</si>
  <si>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</si>
  <si>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</si>
  <si>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</si>
  <si>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</si>
  <si>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</si>
  <si>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</si>
  <si>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</si>
  <si>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</si>
  <si>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</si>
  <si>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</si>
  <si>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</si>
  <si>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</si>
  <si>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</si>
  <si>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</si>
  <si>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</si>
  <si>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</si>
  <si>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</si>
  <si>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</si>
  <si>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</si>
  <si>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</si>
  <si>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</si>
  <si>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</si>
  <si>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</si>
  <si>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</si>
  <si>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</si>
  <si>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</si>
  <si>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</si>
  <si>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</si>
  <si>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</si>
  <si>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</si>
  <si>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</si>
  <si>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</si>
  <si>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</si>
  <si>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</si>
  <si>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</si>
  <si>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</si>
  <si>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</si>
  <si>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</si>
  <si>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</si>
  <si>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</si>
  <si>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</si>
  <si>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</si>
  <si>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</si>
  <si>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</si>
  <si>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</si>
  <si>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</si>
  <si>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</si>
  <si>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</si>
  <si>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</si>
  <si>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</si>
  <si>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</si>
  <si>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</si>
  <si>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</si>
  <si>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</si>
  <si>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</si>
  <si>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</si>
  <si>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</si>
  <si>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</si>
  <si>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</si>
  <si>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</si>
  <si>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</si>
  <si>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</si>
  <si>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</si>
  <si>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</si>
  <si>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</si>
  <si>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</si>
  <si>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</si>
  <si>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</si>
  <si>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</si>
  <si>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</si>
  <si>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</si>
  <si>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</si>
  <si>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</si>
  <si>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</si>
  <si>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</si>
  <si>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</si>
  <si>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</si>
  <si>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</si>
  <si>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</si>
  <si>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</si>
  <si>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</si>
  <si>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</si>
  <si>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</si>
  <si>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</si>
  <si>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</si>
  <si>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</si>
  <si>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</si>
  <si>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</si>
  <si>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</si>
  <si>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</si>
  <si>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</si>
  <si>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</si>
  <si>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</si>
  <si>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</si>
  <si>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</si>
  <si>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</si>
  <si>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</si>
  <si>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</si>
  <si>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</si>
  <si>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</si>
  <si>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</si>
  <si>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</si>
  <si>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</si>
  <si>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</si>
  <si>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</si>
  <si>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</si>
  <si>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</si>
  <si>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</si>
  <si>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</si>
  <si>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</si>
  <si>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</si>
  <si>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</si>
  <si>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</si>
  <si>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</si>
  <si>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</si>
  <si>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</si>
  <si>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</si>
  <si>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</si>
  <si>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</si>
  <si>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</si>
  <si>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</si>
  <si>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</si>
  <si>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</si>
  <si>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</si>
  <si>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</si>
  <si>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</si>
  <si>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</si>
  <si>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</si>
  <si>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</si>
  <si>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</si>
  <si>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</si>
  <si>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</si>
  <si>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</si>
  <si>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</si>
  <si>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</si>
  <si>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</si>
  <si>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</si>
  <si>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</si>
  <si>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</si>
  <si>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</si>
  <si>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</si>
  <si>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</si>
  <si>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</si>
  <si>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</si>
  <si>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</si>
  <si>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</si>
  <si>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</si>
  <si>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</si>
  <si>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</si>
  <si>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</si>
  <si>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</si>
  <si>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</si>
  <si>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</si>
  <si>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</si>
  <si>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</si>
  <si>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</si>
  <si>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</si>
  <si>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</si>
  <si>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</si>
  <si>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</si>
  <si>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</si>
  <si>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</si>
  <si>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</si>
  <si>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</si>
  <si>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</si>
  <si>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</si>
  <si>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</si>
  <si>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</si>
  <si>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</si>
  <si>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</si>
  <si>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</si>
  <si>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</si>
  <si>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</si>
  <si>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</si>
  <si>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</si>
  <si>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</si>
  <si>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</si>
  <si>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</si>
  <si>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</si>
  <si>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</si>
  <si>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</si>
  <si>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</si>
  <si>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</si>
  <si>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</si>
  <si>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</si>
  <si>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</si>
  <si>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</si>
  <si>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</si>
  <si>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</si>
  <si>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</si>
  <si>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</si>
  <si>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</si>
  <si>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</si>
  <si>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</si>
  <si>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</si>
  <si>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</si>
  <si>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</si>
  <si>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</si>
  <si>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</si>
  <si>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</si>
  <si>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</si>
  <si>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</si>
  <si>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</si>
  <si>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</si>
  <si>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</si>
  <si>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</si>
  <si>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</si>
  <si>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</si>
  <si>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</si>
  <si>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</si>
  <si>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</si>
  <si>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</si>
  <si>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</si>
  <si>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</si>
  <si>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</si>
  <si>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</si>
  <si>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</si>
  <si>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</si>
  <si>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</si>
  <si>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</si>
  <si>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</si>
  <si>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</si>
  <si>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</si>
  <si>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</si>
  <si>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</si>
  <si>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</si>
  <si>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</si>
  <si>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</si>
  <si>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</si>
  <si>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</si>
  <si>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</si>
  <si>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</si>
  <si>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</si>
  <si>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</si>
  <si>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</si>
  <si>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</si>
  <si>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</si>
  <si>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</si>
  <si>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</si>
  <si>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</si>
  <si>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</si>
  <si>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</si>
  <si>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</si>
  <si>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</si>
  <si>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</si>
  <si>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</si>
  <si>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</si>
  <si>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</si>
  <si>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</si>
  <si>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</si>
  <si>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</si>
  <si>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</si>
  <si>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</si>
  <si>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</si>
  <si>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</si>
  <si>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</si>
  <si>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</si>
  <si>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</si>
  <si>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</si>
  <si>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</si>
  <si>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</si>
  <si>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</si>
  <si>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</si>
  <si>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</si>
  <si>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</si>
  <si>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</si>
  <si>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</si>
  <si>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</si>
  <si>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</si>
  <si>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</si>
  <si>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</si>
  <si>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</si>
  <si>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</si>
  <si>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</si>
  <si>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</si>
  <si>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</si>
  <si>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</si>
  <si>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</si>
  <si>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</si>
  <si>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</si>
  <si>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</si>
  <si>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</si>
  <si>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</si>
  <si>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</si>
  <si>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</si>
  <si>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</si>
  <si>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</si>
  <si>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</si>
  <si>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</si>
  <si>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</si>
  <si>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</si>
  <si>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</si>
  <si>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</si>
  <si>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</si>
  <si>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</si>
  <si>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</si>
  <si>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</si>
  <si>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</si>
  <si>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</si>
  <si>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</si>
  <si>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</si>
  <si>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</si>
  <si>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</si>
  <si>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</si>
  <si>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</si>
  <si>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</si>
  <si>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</si>
  <si>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</si>
  <si>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</si>
  <si>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</si>
  <si>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</si>
  <si>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</si>
  <si>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</si>
  <si>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</si>
  <si>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</si>
  <si>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</si>
  <si>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</si>
  <si>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</si>
  <si>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</si>
  <si>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</si>
  <si>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</si>
  <si>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</si>
  <si>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</si>
  <si>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</si>
  <si>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</si>
  <si>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</si>
  <si>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</si>
  <si>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</si>
  <si>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</si>
  <si>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</si>
  <si>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</si>
  <si>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</si>
  <si>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</si>
  <si>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</si>
  <si>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</si>
  <si>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</si>
  <si>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</si>
  <si>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</si>
  <si>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</si>
  <si>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</si>
  <si>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</si>
  <si>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</si>
  <si>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</si>
  <si>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</si>
  <si>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</si>
  <si>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</si>
  <si>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</si>
  <si>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</si>
  <si>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</si>
  <si>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</si>
  <si>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</si>
  <si>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</si>
  <si>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</si>
  <si>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</si>
  <si>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</si>
  <si>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</si>
  <si>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</si>
  <si>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</si>
  <si>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</si>
  <si>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</si>
  <si>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</si>
  <si>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</si>
  <si>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</si>
  <si>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</si>
  <si>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</si>
  <si>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</si>
  <si>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</si>
  <si>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</si>
  <si>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</si>
  <si>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</si>
  <si>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</si>
  <si>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</si>
  <si>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</si>
  <si>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</si>
  <si>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</si>
  <si>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</si>
  <si>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</si>
  <si>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</si>
  <si>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</si>
  <si>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</si>
  <si>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</si>
  <si>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</si>
  <si>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</si>
  <si>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</si>
  <si>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</si>
  <si>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</si>
  <si>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</si>
  <si>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</si>
  <si>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</si>
  <si>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</si>
  <si>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</si>
  <si>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</si>
  <si>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</si>
  <si>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</si>
  <si>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</si>
  <si>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</si>
  <si>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</si>
  <si>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</si>
  <si>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</si>
  <si>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</si>
  <si>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</si>
  <si>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</si>
  <si>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</si>
  <si>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</si>
  <si>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</si>
  <si>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</si>
  <si>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</si>
  <si>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</si>
  <si>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</si>
  <si>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</si>
  <si>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</si>
  <si>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</si>
  <si>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</si>
  <si>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</si>
  <si>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</si>
  <si>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</si>
  <si>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</si>
  <si>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</si>
  <si>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</si>
  <si>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</si>
  <si>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</si>
  <si>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</si>
  <si>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</si>
  <si>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</si>
  <si>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</si>
  <si>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</si>
  <si>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</si>
  <si>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</si>
  <si>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</si>
  <si>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</si>
  <si>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</si>
  <si>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</si>
  <si>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</si>
  <si>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</si>
  <si>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</si>
  <si>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</si>
  <si>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</si>
  <si>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</si>
  <si>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</si>
  <si>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</si>
  <si>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</si>
  <si>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</si>
  <si>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</si>
  <si>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</si>
  <si>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</si>
  <si>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</si>
  <si>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</si>
  <si>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</si>
  <si>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</si>
  <si>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</si>
  <si>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</si>
  <si>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</si>
  <si>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</si>
  <si>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</si>
  <si>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</si>
  <si>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</si>
  <si>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</si>
  <si>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</si>
  <si>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</si>
  <si>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</si>
  <si>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</si>
  <si>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</si>
  <si>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</si>
  <si>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</si>
  <si>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</si>
  <si>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</si>
  <si>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</si>
  <si>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</si>
  <si>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</si>
  <si>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</si>
  <si>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</si>
  <si>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</si>
  <si>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</si>
  <si>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</si>
  <si>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</si>
  <si>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</si>
  <si>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</si>
  <si>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</si>
  <si>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</si>
  <si>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</si>
  <si>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</si>
  <si>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</si>
  <si>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</si>
  <si>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</si>
  <si>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</si>
  <si>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</si>
  <si>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</si>
  <si>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</si>
  <si>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</si>
  <si>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</si>
  <si>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</si>
  <si>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</si>
  <si>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</si>
  <si>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</si>
  <si>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</si>
  <si>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</si>
  <si>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</si>
  <si>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</si>
  <si>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</si>
  <si>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</si>
  <si>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</si>
  <si>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</si>
  <si>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</si>
  <si>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</si>
  <si>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</si>
  <si>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</si>
  <si>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</si>
  <si>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</si>
  <si>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</si>
  <si>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</si>
  <si>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</si>
  <si>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</si>
  <si>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</si>
  <si>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</si>
  <si>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</si>
  <si>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</si>
  <si>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</si>
  <si>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</si>
  <si>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</si>
  <si>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</si>
  <si>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</si>
  <si>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</si>
  <si>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</si>
  <si>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</si>
  <si>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</si>
  <si>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</si>
  <si>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</si>
  <si>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</si>
  <si>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</si>
  <si>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</si>
  <si>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</si>
  <si>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</si>
  <si>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</si>
  <si>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</si>
  <si>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</si>
  <si>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</si>
  <si>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</si>
  <si>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</si>
  <si>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</si>
  <si>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</si>
  <si>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</si>
  <si>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</si>
  <si>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</si>
  <si>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</si>
  <si>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</si>
  <si>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</si>
  <si>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</si>
  <si>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</si>
  <si>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</si>
  <si>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</si>
  <si>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</si>
  <si>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</si>
  <si>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</si>
  <si>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</si>
  <si>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</si>
  <si>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</si>
  <si>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</si>
  <si>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</si>
  <si>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</si>
  <si>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</si>
  <si>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</si>
  <si>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</si>
  <si>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</si>
  <si>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</si>
  <si>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</si>
  <si>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</si>
  <si>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</si>
  <si>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</si>
  <si>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</si>
  <si>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</si>
  <si>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</si>
  <si>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</si>
  <si>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</si>
  <si>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</si>
  <si>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</si>
  <si>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</si>
  <si>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</si>
  <si>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</si>
  <si>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</si>
  <si>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</si>
  <si>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</si>
  <si>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</si>
  <si>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</si>
  <si>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</si>
  <si>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</si>
  <si>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</si>
  <si>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</si>
  <si>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</si>
  <si>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</si>
  <si>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</si>
  <si>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</si>
  <si>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</si>
  <si>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</si>
  <si>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</si>
  <si>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</si>
  <si>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</si>
  <si>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</si>
  <si>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</si>
  <si>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</si>
  <si>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</si>
  <si>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</si>
  <si>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</si>
  <si>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</si>
  <si>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</si>
  <si>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</si>
  <si>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</si>
  <si>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</si>
  <si>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</si>
  <si>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</si>
  <si>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</si>
  <si>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</si>
  <si>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</si>
  <si>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</si>
  <si>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</si>
  <si>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</si>
  <si>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</si>
  <si>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</si>
  <si>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</si>
  <si>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</si>
  <si>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</si>
  <si>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</si>
  <si>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</si>
  <si>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</si>
  <si>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</si>
  <si>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</si>
  <si>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</si>
  <si>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</si>
  <si>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</si>
  <si>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</si>
  <si>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</si>
  <si>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</si>
  <si>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</si>
  <si>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</si>
  <si>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</si>
  <si>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</si>
  <si>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</si>
  <si>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</si>
  <si>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</si>
  <si>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</si>
  <si>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</si>
  <si>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</si>
  <si>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</si>
  <si>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</si>
  <si>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</si>
  <si>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</si>
  <si>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</si>
  <si>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</si>
  <si>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</si>
  <si>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</si>
  <si>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</si>
  <si>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</si>
  <si>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</si>
  <si>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</si>
  <si>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</si>
  <si>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</si>
  <si>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</si>
  <si>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</si>
  <si>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</si>
  <si>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</si>
  <si>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</si>
  <si>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</si>
  <si>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</si>
  <si>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</si>
  <si>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</si>
  <si>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Deck Eruption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</si>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</sst>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10" borderId="0" xfId="0" applyFont="1" applyFill="1" applyAlignment="1">
      <alignment vertical="center" textRotation="90"/>
    </xf>
    <xf numFmtId="0" fontId="1" fillId="34" borderId="0" xfId="0" applyFont="1" applyFill="1" applyAlignment="1">
      <alignment horizontal="center" vertical="center" textRotation="90"/>
    </xf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40"/>
  <sheetViews>
    <sheetView tabSelected="1" zoomScale="85" zoomScaleNormal="85" workbookViewId="0">
      <pane xSplit="2" ySplit="8" topLeftCell="K82" activePane="bottomRight" state="frozen"/>
      <selection pane="topRight" activeCell="C1" sqref="C1"/>
      <selection pane="bottomLeft" activeCell="A9" sqref="A9"/>
      <selection pane="bottomRight" activeCell="AP121" sqref="AP12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68" t="s">
        <v>771</v>
      </c>
      <c r="H1" s="169"/>
      <c r="I1" s="169"/>
      <c r="J1" s="170"/>
      <c r="K1" s="145" t="s">
        <v>770</v>
      </c>
      <c r="L1" s="146"/>
      <c r="M1" s="146"/>
      <c r="N1" s="147"/>
      <c r="O1" s="157" t="s">
        <v>769</v>
      </c>
      <c r="P1" s="158"/>
      <c r="Q1" s="158"/>
      <c r="R1" s="159"/>
      <c r="S1" s="148" t="s">
        <v>768</v>
      </c>
      <c r="T1" s="149"/>
      <c r="U1" s="149"/>
      <c r="V1" s="150"/>
      <c r="W1" s="173" t="s">
        <v>765</v>
      </c>
      <c r="X1" s="174"/>
      <c r="Y1" s="175"/>
      <c r="Z1" s="176"/>
      <c r="AA1" s="200" t="s">
        <v>766</v>
      </c>
      <c r="AB1" s="201"/>
      <c r="AC1" s="202"/>
      <c r="AD1" s="203"/>
      <c r="AE1" s="196" t="s">
        <v>767</v>
      </c>
      <c r="AF1" s="197"/>
      <c r="AG1" s="198"/>
      <c r="AH1" s="199"/>
      <c r="AI1" s="163" t="s">
        <v>858</v>
      </c>
      <c r="AJ1" s="164"/>
      <c r="AK1" s="165"/>
      <c r="AL1" s="166"/>
      <c r="AM1" s="127" t="s">
        <v>859</v>
      </c>
      <c r="AN1" s="128"/>
      <c r="AO1" s="129"/>
      <c r="AP1" s="130"/>
      <c r="AQ1" s="127" t="s">
        <v>860</v>
      </c>
      <c r="AR1" s="128"/>
      <c r="AS1" s="129"/>
      <c r="AT1" s="130"/>
      <c r="AU1" s="127" t="s">
        <v>861</v>
      </c>
      <c r="AV1" s="128"/>
      <c r="AW1" s="129"/>
      <c r="AX1" s="130"/>
      <c r="AY1" s="127" t="s">
        <v>862</v>
      </c>
      <c r="AZ1" s="128"/>
      <c r="BA1" s="129"/>
      <c r="BB1" s="130"/>
      <c r="BC1" s="127" t="s">
        <v>829</v>
      </c>
      <c r="BD1" s="128"/>
      <c r="BE1" s="129"/>
      <c r="BF1" s="130"/>
      <c r="BG1" s="127" t="s">
        <v>830</v>
      </c>
      <c r="BH1" s="128"/>
      <c r="BI1" s="129"/>
      <c r="BJ1" s="130"/>
      <c r="BK1" s="127" t="s">
        <v>831</v>
      </c>
      <c r="BL1" s="128"/>
      <c r="BM1" s="129"/>
      <c r="BN1" s="130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816</v>
      </c>
      <c r="T2" s="109" t="s">
        <v>794</v>
      </c>
      <c r="U2" s="111" t="s">
        <v>4</v>
      </c>
      <c r="V2" s="24" t="s">
        <v>761</v>
      </c>
      <c r="W2" s="39" t="s">
        <v>817</v>
      </c>
      <c r="X2" s="19" t="s">
        <v>807</v>
      </c>
      <c r="Y2" s="92" t="s">
        <v>5</v>
      </c>
      <c r="Z2" s="20" t="s">
        <v>762</v>
      </c>
      <c r="AA2" s="55" t="s">
        <v>818</v>
      </c>
      <c r="AB2" s="101" t="s">
        <v>808</v>
      </c>
      <c r="AC2" s="98" t="s">
        <v>6</v>
      </c>
      <c r="AD2" s="20" t="s">
        <v>763</v>
      </c>
      <c r="AE2" s="73" t="s">
        <v>819</v>
      </c>
      <c r="AF2" s="25" t="s">
        <v>824</v>
      </c>
      <c r="AG2" s="106" t="s">
        <v>7</v>
      </c>
      <c r="AH2" s="27" t="s">
        <v>764</v>
      </c>
      <c r="AI2" s="78" t="s">
        <v>820</v>
      </c>
      <c r="AJ2" s="26" t="s">
        <v>823</v>
      </c>
      <c r="AK2" s="26" t="s">
        <v>772</v>
      </c>
      <c r="AL2" s="79" t="s">
        <v>773</v>
      </c>
      <c r="AM2" s="85" t="s">
        <v>821</v>
      </c>
      <c r="AN2" s="87" t="s">
        <v>822</v>
      </c>
      <c r="AO2" s="87" t="s">
        <v>783</v>
      </c>
      <c r="AP2" s="89" t="s">
        <v>784</v>
      </c>
      <c r="AQ2" s="85" t="s">
        <v>825</v>
      </c>
      <c r="AR2" s="87" t="s">
        <v>826</v>
      </c>
      <c r="AS2" s="87" t="s">
        <v>827</v>
      </c>
      <c r="AT2" s="89" t="s">
        <v>828</v>
      </c>
      <c r="AU2" s="73" t="s">
        <v>832</v>
      </c>
      <c r="AV2" s="25" t="s">
        <v>833</v>
      </c>
      <c r="AW2" s="106" t="s">
        <v>834</v>
      </c>
      <c r="AX2" s="27" t="s">
        <v>835</v>
      </c>
      <c r="AY2" s="78" t="s">
        <v>836</v>
      </c>
      <c r="AZ2" s="26" t="s">
        <v>837</v>
      </c>
      <c r="BA2" s="26" t="s">
        <v>838</v>
      </c>
      <c r="BB2" s="79" t="s">
        <v>839</v>
      </c>
      <c r="BC2" s="85" t="s">
        <v>840</v>
      </c>
      <c r="BD2" s="87" t="s">
        <v>841</v>
      </c>
      <c r="BE2" s="87" t="s">
        <v>842</v>
      </c>
      <c r="BF2" s="89" t="s">
        <v>843</v>
      </c>
      <c r="BG2" s="85" t="s">
        <v>844</v>
      </c>
      <c r="BH2" s="87" t="s">
        <v>845</v>
      </c>
      <c r="BI2" s="87" t="s">
        <v>846</v>
      </c>
      <c r="BJ2" s="89" t="s">
        <v>847</v>
      </c>
      <c r="BK2" s="73" t="s">
        <v>848</v>
      </c>
      <c r="BL2" s="25" t="s">
        <v>849</v>
      </c>
      <c r="BM2" s="106" t="s">
        <v>850</v>
      </c>
      <c r="BN2" s="27" t="s">
        <v>851</v>
      </c>
    </row>
    <row r="3" spans="1:66" ht="16.5" customHeight="1" thickBot="1" x14ac:dyDescent="0.3">
      <c r="B3" s="167" t="s">
        <v>8</v>
      </c>
      <c r="C3" s="12"/>
      <c r="D3" s="191" t="s">
        <v>9</v>
      </c>
      <c r="E3" s="126"/>
      <c r="F3" s="152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25">
      <c r="B4" s="126"/>
      <c r="C4" s="13"/>
      <c r="D4" s="191" t="s">
        <v>10</v>
      </c>
      <c r="E4" s="126"/>
      <c r="F4" s="152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82" t="s">
        <v>11</v>
      </c>
      <c r="C6" s="14"/>
      <c r="D6" s="151" t="s">
        <v>9</v>
      </c>
      <c r="E6" s="126"/>
      <c r="F6" s="152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10</v>
      </c>
      <c r="X6" s="41">
        <f t="shared" si="6"/>
        <v>3</v>
      </c>
      <c r="Y6" s="93">
        <f t="shared" si="6"/>
        <v>7</v>
      </c>
      <c r="Z6" s="53">
        <f t="shared" si="6"/>
        <v>2</v>
      </c>
      <c r="AA6" s="95">
        <f t="shared" si="6"/>
        <v>5</v>
      </c>
      <c r="AB6" s="102">
        <f t="shared" si="6"/>
        <v>4</v>
      </c>
      <c r="AC6" s="99">
        <f t="shared" si="6"/>
        <v>2</v>
      </c>
      <c r="AD6" s="53">
        <f t="shared" si="6"/>
        <v>3</v>
      </c>
      <c r="AE6" s="74">
        <f t="shared" si="6"/>
        <v>4</v>
      </c>
      <c r="AF6" s="75">
        <f t="shared" si="6"/>
        <v>3</v>
      </c>
      <c r="AG6" s="107">
        <f t="shared" si="6"/>
        <v>2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0</v>
      </c>
      <c r="AL6" s="81">
        <f t="shared" si="6"/>
        <v>0</v>
      </c>
      <c r="AM6" s="86">
        <f>COUNTIF(AM60:AM131,"✅")</f>
        <v>2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COUNTIF(BC60:BC121,"✅")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COUNTIF(BG60:BG127,"✅")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25">
      <c r="B7" s="126"/>
      <c r="C7" s="15"/>
      <c r="D7" s="151" t="s">
        <v>10</v>
      </c>
      <c r="E7" s="126"/>
      <c r="F7" s="152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10</v>
      </c>
      <c r="X7" s="41">
        <f t="shared" si="9"/>
        <v>14</v>
      </c>
      <c r="Y7" s="93">
        <f t="shared" si="9"/>
        <v>13</v>
      </c>
      <c r="Z7" s="53">
        <f t="shared" si="9"/>
        <v>9</v>
      </c>
      <c r="AA7" s="95">
        <f t="shared" si="9"/>
        <v>15</v>
      </c>
      <c r="AB7" s="102">
        <f t="shared" si="9"/>
        <v>22</v>
      </c>
      <c r="AC7" s="99">
        <f t="shared" si="9"/>
        <v>14</v>
      </c>
      <c r="AD7" s="53">
        <f t="shared" si="9"/>
        <v>12</v>
      </c>
      <c r="AE7" s="74">
        <f t="shared" si="9"/>
        <v>17</v>
      </c>
      <c r="AF7" s="75">
        <f t="shared" si="9"/>
        <v>25</v>
      </c>
      <c r="AG7" s="107">
        <f t="shared" si="9"/>
        <v>16</v>
      </c>
      <c r="AH7" s="77">
        <f t="shared" si="9"/>
        <v>17</v>
      </c>
      <c r="AI7" s="80">
        <f t="shared" si="9"/>
        <v>18</v>
      </c>
      <c r="AJ7" s="30">
        <f t="shared" si="9"/>
        <v>23</v>
      </c>
      <c r="AK7" s="30">
        <f t="shared" si="9"/>
        <v>15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25">
      <c r="D8" s="181" t="s">
        <v>12</v>
      </c>
      <c r="E8" s="126"/>
      <c r="F8" s="152"/>
      <c r="G8" s="153">
        <f>SUM(G3:J3)</f>
        <v>9</v>
      </c>
      <c r="H8" s="154"/>
      <c r="I8" s="155"/>
      <c r="J8" s="156"/>
      <c r="K8" s="139">
        <f>SUM(K3:N3)</f>
        <v>14</v>
      </c>
      <c r="L8" s="140"/>
      <c r="M8" s="141"/>
      <c r="N8" s="142"/>
      <c r="O8" s="177">
        <f>SUM(O3:R3)</f>
        <v>14</v>
      </c>
      <c r="P8" s="178"/>
      <c r="Q8" s="179"/>
      <c r="R8" s="180"/>
      <c r="S8" s="187">
        <f>SUM(S3:V3)</f>
        <v>9</v>
      </c>
      <c r="T8" s="188"/>
      <c r="U8" s="189"/>
      <c r="V8" s="190"/>
      <c r="W8" s="183">
        <f>SUM(W6:Z6)</f>
        <v>22</v>
      </c>
      <c r="X8" s="184"/>
      <c r="Y8" s="185"/>
      <c r="Z8" s="186"/>
      <c r="AA8" s="192">
        <f>SUM(AA6:AD6)</f>
        <v>14</v>
      </c>
      <c r="AB8" s="193"/>
      <c r="AC8" s="194"/>
      <c r="AD8" s="195"/>
      <c r="AE8" s="131">
        <f>SUM(AE6:AH6)</f>
        <v>12</v>
      </c>
      <c r="AF8" s="132"/>
      <c r="AG8" s="133"/>
      <c r="AH8" s="134"/>
      <c r="AI8" s="121">
        <f>SUM(AI6:AL6)</f>
        <v>7</v>
      </c>
      <c r="AJ8" s="122"/>
      <c r="AK8" s="123"/>
      <c r="AL8" s="124"/>
      <c r="AM8" s="135">
        <f>SUM(AM6:AP6)</f>
        <v>2</v>
      </c>
      <c r="AN8" s="136"/>
      <c r="AO8" s="137"/>
      <c r="AP8" s="138"/>
      <c r="AQ8" s="135">
        <f>SUM(AQ6:AT6)</f>
        <v>0</v>
      </c>
      <c r="AR8" s="136"/>
      <c r="AS8" s="137"/>
      <c r="AT8" s="138"/>
      <c r="AU8" s="131">
        <f>SUM(AU6:AX6)</f>
        <v>0</v>
      </c>
      <c r="AV8" s="132"/>
      <c r="AW8" s="133"/>
      <c r="AX8" s="134"/>
      <c r="AY8" s="121">
        <f>SUM(AY6:BB6)</f>
        <v>0</v>
      </c>
      <c r="AZ8" s="122"/>
      <c r="BA8" s="123"/>
      <c r="BB8" s="124"/>
      <c r="BC8" s="135">
        <f>SUM(BC6:BF6)</f>
        <v>0</v>
      </c>
      <c r="BD8" s="136"/>
      <c r="BE8" s="137"/>
      <c r="BF8" s="138"/>
      <c r="BG8" s="135">
        <f>SUM(BG6:BJ6)</f>
        <v>0</v>
      </c>
      <c r="BH8" s="136"/>
      <c r="BI8" s="137"/>
      <c r="BJ8" s="138"/>
      <c r="BK8" s="131">
        <f>SUM(BK6:BN6)</f>
        <v>0</v>
      </c>
      <c r="BL8" s="132"/>
      <c r="BM8" s="133"/>
      <c r="BN8" s="134"/>
    </row>
    <row r="9" spans="1:66" ht="16.5" customHeight="1" x14ac:dyDescent="0.25">
      <c r="D9" s="125" t="s">
        <v>13</v>
      </c>
      <c r="E9" s="126"/>
      <c r="F9" s="126"/>
      <c r="G9" s="143">
        <f>SUM(G8:V8)</f>
        <v>46</v>
      </c>
      <c r="H9" s="143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60">
        <f>SUM(W8:AL8)</f>
        <v>55</v>
      </c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2"/>
      <c r="AM9" s="160">
        <f>SUM(AM8:BB8)</f>
        <v>2</v>
      </c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  <c r="BB9" s="161"/>
      <c r="BC9" s="161"/>
      <c r="BD9" s="161"/>
      <c r="BE9" s="161"/>
      <c r="BF9" s="161"/>
      <c r="BG9" s="161"/>
      <c r="BH9" s="161"/>
      <c r="BI9" s="161"/>
      <c r="BJ9" s="161"/>
      <c r="BK9" s="117"/>
      <c r="BL9" s="117"/>
      <c r="BM9" s="117"/>
      <c r="BN9" s="117"/>
    </row>
    <row r="10" spans="1:66" ht="16.5" customHeight="1" x14ac:dyDescent="0.25">
      <c r="D10" s="125" t="s">
        <v>14</v>
      </c>
      <c r="E10" s="126"/>
      <c r="F10" s="126"/>
      <c r="G10" s="171">
        <f>SUM(G8:BJ8)</f>
        <v>103</v>
      </c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18"/>
      <c r="BL10" s="118"/>
      <c r="BM10" s="118"/>
      <c r="BN10" s="118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791</v>
      </c>
      <c r="C12" s="28">
        <v>2</v>
      </c>
      <c r="D12" s="5">
        <f t="shared" ref="D12:D57" si="11">COUNTIF(G12:AAN12,"✅")+COUNTIF(G12:AAN12,"✔️")</f>
        <v>3</v>
      </c>
      <c r="E12" s="2" t="s">
        <v>797</v>
      </c>
      <c r="F12" s="2" t="s">
        <v>798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2:66" ht="16.5" customHeight="1" x14ac:dyDescent="0.25"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2:66" ht="16.5" customHeight="1" x14ac:dyDescent="0.25"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2:66" ht="16.5" customHeight="1" x14ac:dyDescent="0.25"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2:66" ht="16.5" customHeight="1" x14ac:dyDescent="0.25"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2:66" ht="16.5" customHeight="1" x14ac:dyDescent="0.25">
      <c r="B21" s="2" t="s">
        <v>792</v>
      </c>
      <c r="C21" s="28">
        <v>4</v>
      </c>
      <c r="D21" s="5">
        <f t="shared" si="11"/>
        <v>1</v>
      </c>
      <c r="E21" s="2" t="s">
        <v>799</v>
      </c>
      <c r="F21" s="2" t="s">
        <v>800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2:66" x14ac:dyDescent="0.25"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2:66" x14ac:dyDescent="0.25"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2:66" ht="16.5" customHeight="1" x14ac:dyDescent="0.25"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2:66" ht="16.5" customHeight="1" x14ac:dyDescent="0.25"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2:66" ht="16.5" customHeight="1" x14ac:dyDescent="0.25"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2:66" ht="16.5" customHeight="1" x14ac:dyDescent="0.25"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2:66" ht="16.5" customHeight="1" x14ac:dyDescent="0.25"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2:66" ht="16.5" customHeight="1" x14ac:dyDescent="0.25"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2:66" ht="16.5" customHeight="1" x14ac:dyDescent="0.25"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2:66" ht="16.5" customHeight="1" x14ac:dyDescent="0.25"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2:66" ht="16.5" customHeight="1" x14ac:dyDescent="0.25"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2:66" ht="16.5" customHeight="1" x14ac:dyDescent="0.25"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2:66" ht="16.5" customHeight="1" x14ac:dyDescent="0.25"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2:66" x14ac:dyDescent="0.25">
      <c r="B35" s="2" t="s">
        <v>793</v>
      </c>
      <c r="C35" s="28">
        <v>4</v>
      </c>
      <c r="D35" s="5">
        <f t="shared" si="11"/>
        <v>4</v>
      </c>
      <c r="E35" s="2" t="s">
        <v>801</v>
      </c>
      <c r="F35" s="2" t="s">
        <v>802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2:66" x14ac:dyDescent="0.25"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2:66" x14ac:dyDescent="0.25"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2:66" ht="16.5" customHeight="1" x14ac:dyDescent="0.25"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2:66" x14ac:dyDescent="0.25"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2:66" x14ac:dyDescent="0.25"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2:66" x14ac:dyDescent="0.25"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2:66" x14ac:dyDescent="0.25"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2:66" x14ac:dyDescent="0.25"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2:66" x14ac:dyDescent="0.25"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2:66" x14ac:dyDescent="0.25"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2:66" x14ac:dyDescent="0.25"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2:66" x14ac:dyDescent="0.25"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2:66" x14ac:dyDescent="0.25"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25">
      <c r="B49" s="2" t="s">
        <v>795</v>
      </c>
      <c r="C49" s="28">
        <v>4</v>
      </c>
      <c r="D49" s="5">
        <f t="shared" si="11"/>
        <v>1</v>
      </c>
      <c r="E49" s="2" t="s">
        <v>803</v>
      </c>
      <c r="F49" s="2" t="s">
        <v>804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25"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25"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25"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25"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25"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25"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25"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25"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25">
      <c r="A59" s="114" t="s">
        <v>148</v>
      </c>
      <c r="B59" s="2" t="s">
        <v>796</v>
      </c>
      <c r="C59" s="28">
        <v>4</v>
      </c>
      <c r="D59" s="5">
        <f t="shared" ref="D59:D106" si="12">COUNTIF(G59:AAN59,"✅")+COUNTIF(G59:AAN59,"✔️")</f>
        <v>1</v>
      </c>
      <c r="E59" s="2" t="s">
        <v>805</v>
      </c>
      <c r="F59" s="2" t="s">
        <v>806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25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25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25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25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25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107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25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25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25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25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25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25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25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25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25">
      <c r="A76" s="114"/>
      <c r="B76" s="2" t="s">
        <v>809</v>
      </c>
      <c r="C76" s="28">
        <v>4</v>
      </c>
      <c r="D76" s="5">
        <f t="shared" si="12"/>
        <v>4</v>
      </c>
      <c r="E76" s="2" t="s">
        <v>810</v>
      </c>
      <c r="F76" s="2" t="s">
        <v>811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25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25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25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107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25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25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25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25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25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25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107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25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107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25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25">
      <c r="A88" s="114"/>
      <c r="B88" s="2" t="s">
        <v>814</v>
      </c>
      <c r="C88" s="28">
        <v>4</v>
      </c>
      <c r="D88" s="5">
        <f t="shared" si="12"/>
        <v>4</v>
      </c>
      <c r="E88" s="2" t="s">
        <v>810</v>
      </c>
      <c r="F88" s="2" t="s">
        <v>811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25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25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107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25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25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25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107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25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25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25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25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25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25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25">
      <c r="A100" s="114"/>
      <c r="B100" s="2" t="s">
        <v>815</v>
      </c>
      <c r="C100" s="28">
        <v>4</v>
      </c>
      <c r="D100" s="5">
        <f t="shared" si="12"/>
        <v>4</v>
      </c>
      <c r="E100" s="2" t="s">
        <v>813</v>
      </c>
      <c r="F100" s="2" t="s">
        <v>812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25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25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25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25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107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25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107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25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107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25">
      <c r="A108" s="120" t="s">
        <v>774</v>
      </c>
      <c r="B108" t="s">
        <v>281</v>
      </c>
      <c r="C108" s="11">
        <v>6</v>
      </c>
      <c r="D108" s="1">
        <f t="shared" ref="D108:D118" si="13">COUNTIF(G108:AAN108,"✅")+COUNTIF(G108:AAN108,"✔️")</f>
        <v>9</v>
      </c>
      <c r="E108" t="s">
        <v>282</v>
      </c>
      <c r="F108" t="s">
        <v>283</v>
      </c>
      <c r="W108" s="95" t="s">
        <v>23</v>
      </c>
      <c r="X108" s="102" t="s">
        <v>24</v>
      </c>
      <c r="Y108" s="99" t="s">
        <v>24</v>
      </c>
      <c r="AB108" s="102" t="s">
        <v>24</v>
      </c>
      <c r="AC108" s="107" t="s">
        <v>24</v>
      </c>
      <c r="AE108" s="80" t="s">
        <v>24</v>
      </c>
      <c r="AF108" s="30" t="s">
        <v>24</v>
      </c>
      <c r="AG108"/>
      <c r="AH108" s="52"/>
      <c r="AK108" s="30" t="s">
        <v>24</v>
      </c>
      <c r="AL108" s="81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  <c r="BC108" s="62"/>
      <c r="BD108" s="31"/>
      <c r="BE108" s="31"/>
      <c r="BF108" s="31"/>
      <c r="BG108" s="62"/>
      <c r="BH108" s="31"/>
      <c r="BI108" s="31"/>
      <c r="BJ108" s="31"/>
    </row>
    <row r="109" spans="1:66" x14ac:dyDescent="0.25">
      <c r="A109" s="120"/>
      <c r="B109" t="s">
        <v>284</v>
      </c>
      <c r="C109" s="11">
        <v>6</v>
      </c>
      <c r="D109" s="1">
        <f t="shared" si="13"/>
        <v>9</v>
      </c>
      <c r="E109" t="s">
        <v>285</v>
      </c>
      <c r="F109" t="s">
        <v>286</v>
      </c>
      <c r="Y109" s="99" t="s">
        <v>23</v>
      </c>
      <c r="Z109" s="53" t="s">
        <v>24</v>
      </c>
      <c r="AA109" s="95" t="s">
        <v>24</v>
      </c>
      <c r="AB109" s="102" t="s">
        <v>24</v>
      </c>
      <c r="AE109" s="80" t="s">
        <v>24</v>
      </c>
      <c r="AF109" s="30" t="s">
        <v>24</v>
      </c>
      <c r="AG109"/>
      <c r="AH109" s="52"/>
      <c r="AI109" s="80" t="s">
        <v>24</v>
      </c>
      <c r="AJ109" s="30" t="s">
        <v>24</v>
      </c>
      <c r="AK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  <c r="BC109" s="62"/>
      <c r="BD109" s="31"/>
      <c r="BE109" s="31"/>
      <c r="BF109" s="31"/>
      <c r="BG109" s="62"/>
      <c r="BH109" s="31"/>
      <c r="BI109" s="31"/>
      <c r="BJ109" s="31"/>
    </row>
    <row r="110" spans="1:66" x14ac:dyDescent="0.25">
      <c r="A110" s="120"/>
      <c r="B110" t="s">
        <v>287</v>
      </c>
      <c r="C110" s="11">
        <v>6</v>
      </c>
      <c r="D110" s="1">
        <f t="shared" si="13"/>
        <v>9</v>
      </c>
      <c r="E110" t="s">
        <v>288</v>
      </c>
      <c r="F110" t="s">
        <v>289</v>
      </c>
      <c r="W110" s="95" t="s">
        <v>23</v>
      </c>
      <c r="X110" s="102" t="s">
        <v>24</v>
      </c>
      <c r="Y110" s="99" t="s">
        <v>24</v>
      </c>
      <c r="AC110" s="107" t="s">
        <v>24</v>
      </c>
      <c r="AD110" s="77" t="s">
        <v>24</v>
      </c>
      <c r="AE110" s="80" t="s">
        <v>24</v>
      </c>
      <c r="AF110" s="30" t="s">
        <v>24</v>
      </c>
      <c r="AG110"/>
      <c r="AH110" s="52"/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  <c r="BC110" s="62"/>
      <c r="BD110" s="31"/>
      <c r="BE110" s="31"/>
      <c r="BF110" s="31"/>
      <c r="BG110" s="62"/>
      <c r="BH110" s="31"/>
      <c r="BI110" s="31"/>
      <c r="BJ110" s="31"/>
    </row>
    <row r="111" spans="1:66" x14ac:dyDescent="0.25">
      <c r="A111" s="120"/>
      <c r="B111" t="s">
        <v>290</v>
      </c>
      <c r="C111" s="11">
        <v>6</v>
      </c>
      <c r="D111" s="1">
        <f t="shared" si="13"/>
        <v>9</v>
      </c>
      <c r="E111" t="s">
        <v>291</v>
      </c>
      <c r="F111" t="s">
        <v>292</v>
      </c>
      <c r="AA111" s="76" t="s">
        <v>23</v>
      </c>
      <c r="AB111" s="75" t="s">
        <v>24</v>
      </c>
      <c r="AC111" s="30" t="s">
        <v>24</v>
      </c>
      <c r="AE111" s="80" t="s">
        <v>24</v>
      </c>
      <c r="AF111" s="30" t="s">
        <v>24</v>
      </c>
      <c r="AG111" s="30" t="s">
        <v>24</v>
      </c>
      <c r="AH111" s="52"/>
      <c r="AI111" s="80" t="s">
        <v>24</v>
      </c>
      <c r="AJ111" s="30" t="s">
        <v>24</v>
      </c>
      <c r="AK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20"/>
      <c r="B112" t="s">
        <v>293</v>
      </c>
      <c r="C112" s="11">
        <v>6</v>
      </c>
      <c r="D112" s="1">
        <f t="shared" si="13"/>
        <v>9</v>
      </c>
      <c r="E112" t="s">
        <v>294</v>
      </c>
      <c r="F112" t="s">
        <v>295</v>
      </c>
      <c r="X112" s="102" t="s">
        <v>24</v>
      </c>
      <c r="Y112" s="99" t="s">
        <v>23</v>
      </c>
      <c r="Z112" s="53" t="s">
        <v>24</v>
      </c>
      <c r="AD112" s="81" t="s">
        <v>24</v>
      </c>
      <c r="AE112" s="51"/>
      <c r="AF112" s="30" t="s">
        <v>24</v>
      </c>
      <c r="AG112" s="30" t="s">
        <v>24</v>
      </c>
      <c r="AH112" s="81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20"/>
      <c r="B113" t="s">
        <v>296</v>
      </c>
      <c r="C113" s="11">
        <v>6</v>
      </c>
      <c r="D113" s="1">
        <f t="shared" si="13"/>
        <v>9</v>
      </c>
      <c r="E113" t="s">
        <v>297</v>
      </c>
      <c r="F113" t="s">
        <v>298</v>
      </c>
      <c r="AB113" s="30" t="s">
        <v>23</v>
      </c>
      <c r="AC113" s="30" t="s">
        <v>24</v>
      </c>
      <c r="AD113" s="81" t="s">
        <v>24</v>
      </c>
      <c r="AE113" s="51"/>
      <c r="AF113" s="30" t="s">
        <v>24</v>
      </c>
      <c r="AG113" s="30" t="s">
        <v>24</v>
      </c>
      <c r="AH113" s="81" t="s">
        <v>24</v>
      </c>
      <c r="AJ113" s="30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20"/>
      <c r="B114" t="s">
        <v>299</v>
      </c>
      <c r="C114" s="11">
        <v>6</v>
      </c>
      <c r="D114" s="1">
        <f t="shared" si="13"/>
        <v>9</v>
      </c>
      <c r="E114" t="s">
        <v>300</v>
      </c>
      <c r="F114" t="s">
        <v>301</v>
      </c>
      <c r="W114" s="95" t="s">
        <v>23</v>
      </c>
      <c r="X114" s="102" t="s">
        <v>24</v>
      </c>
      <c r="AB114" s="75" t="s">
        <v>24</v>
      </c>
      <c r="AC114" s="30" t="s">
        <v>24</v>
      </c>
      <c r="AE114" s="51"/>
      <c r="AF114" s="30" t="s">
        <v>24</v>
      </c>
      <c r="AG114" s="30" t="s">
        <v>24</v>
      </c>
      <c r="AH114" s="81" t="s">
        <v>24</v>
      </c>
      <c r="AI114" s="80" t="s">
        <v>24</v>
      </c>
      <c r="AJ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20"/>
      <c r="B115" t="s">
        <v>302</v>
      </c>
      <c r="C115" s="11">
        <v>6</v>
      </c>
      <c r="D115" s="1">
        <f t="shared" si="13"/>
        <v>9</v>
      </c>
      <c r="E115" t="s">
        <v>303</v>
      </c>
      <c r="F115" t="s">
        <v>304</v>
      </c>
      <c r="Y115" s="99" t="s">
        <v>23</v>
      </c>
      <c r="Z115" s="53" t="s">
        <v>24</v>
      </c>
      <c r="AD115" s="81" t="s">
        <v>24</v>
      </c>
      <c r="AE115" s="51"/>
      <c r="AF115"/>
      <c r="AG115" s="30" t="s">
        <v>24</v>
      </c>
      <c r="AH115" s="81" t="s">
        <v>24</v>
      </c>
      <c r="AI115" s="80" t="s">
        <v>24</v>
      </c>
      <c r="AJ115" s="30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25">
      <c r="A117" s="119"/>
      <c r="B117" t="s">
        <v>852</v>
      </c>
      <c r="C117" s="11">
        <v>2</v>
      </c>
      <c r="D117" s="1">
        <f t="shared" si="13"/>
        <v>7</v>
      </c>
      <c r="E117" t="s">
        <v>853</v>
      </c>
      <c r="AM117" s="80" t="s">
        <v>23</v>
      </c>
      <c r="AN117" s="30" t="s">
        <v>24</v>
      </c>
      <c r="AO117" s="30" t="s">
        <v>24</v>
      </c>
      <c r="AP117" s="52"/>
      <c r="AQ117" s="76" t="s">
        <v>24</v>
      </c>
      <c r="AR117" s="75" t="s">
        <v>24</v>
      </c>
      <c r="AS117" s="31"/>
      <c r="AT117" s="31"/>
      <c r="AV117" s="30" t="s">
        <v>24</v>
      </c>
      <c r="AW117" s="107" t="s">
        <v>24</v>
      </c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119"/>
      <c r="B118" t="s">
        <v>854</v>
      </c>
      <c r="C118" s="11">
        <v>2</v>
      </c>
      <c r="D118" s="1">
        <f t="shared" si="13"/>
        <v>7</v>
      </c>
      <c r="E118" t="s">
        <v>855</v>
      </c>
      <c r="AM118" s="80" t="s">
        <v>23</v>
      </c>
      <c r="AN118" s="30" t="s">
        <v>24</v>
      </c>
      <c r="AO118" s="30" t="s">
        <v>24</v>
      </c>
      <c r="AP118" s="52"/>
      <c r="AQ118" s="76" t="s">
        <v>24</v>
      </c>
      <c r="AR118" s="75" t="s">
        <v>24</v>
      </c>
      <c r="AS118" s="31"/>
      <c r="AT118" s="31"/>
      <c r="AV118" s="30" t="s">
        <v>24</v>
      </c>
      <c r="AW118" s="107" t="s">
        <v>24</v>
      </c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x14ac:dyDescent="0.25">
      <c r="A119" s="119"/>
      <c r="B119" t="s">
        <v>856</v>
      </c>
      <c r="C119" s="11">
        <v>4</v>
      </c>
      <c r="E119" t="s">
        <v>857</v>
      </c>
      <c r="AM119" s="51"/>
      <c r="AO119" s="30" t="s">
        <v>24</v>
      </c>
      <c r="AP119" s="81" t="s">
        <v>24</v>
      </c>
      <c r="AQ119" s="62"/>
      <c r="AR119" s="75" t="s">
        <v>24</v>
      </c>
      <c r="AS119" s="107" t="s">
        <v>24</v>
      </c>
      <c r="AT119" s="77" t="s">
        <v>24</v>
      </c>
      <c r="AU119" s="80" t="s">
        <v>24</v>
      </c>
      <c r="AV119" s="30" t="s">
        <v>24</v>
      </c>
      <c r="AW119" s="107" t="s">
        <v>24</v>
      </c>
      <c r="AY119" s="62"/>
      <c r="AZ119" s="31"/>
      <c r="BA119" s="31"/>
      <c r="BB119" s="31"/>
      <c r="BC119" s="62"/>
      <c r="BD119" s="31"/>
      <c r="BE119" s="31"/>
      <c r="BF119" s="31"/>
      <c r="BG119" s="62"/>
      <c r="BH119" s="31"/>
      <c r="BI119" s="31"/>
      <c r="BJ119" s="31"/>
    </row>
    <row r="120" spans="1:66" x14ac:dyDescent="0.25">
      <c r="A120" s="119"/>
      <c r="AM120" s="51"/>
      <c r="AP120" s="52"/>
      <c r="AQ120" s="51"/>
      <c r="AT120" s="52"/>
      <c r="AU120" s="51"/>
      <c r="AV120"/>
      <c r="AW120"/>
      <c r="AX120" s="52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119"/>
      <c r="AM121" s="51"/>
      <c r="AP121" s="52"/>
      <c r="AQ121" s="51"/>
      <c r="AT121" s="52"/>
      <c r="AU121" s="51"/>
      <c r="AV121"/>
      <c r="AW121"/>
      <c r="AX121" s="52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119"/>
      <c r="AM122" s="51"/>
      <c r="AP122" s="52"/>
      <c r="AQ122" s="51"/>
      <c r="AT122" s="52"/>
      <c r="AU122" s="51"/>
      <c r="AV122"/>
      <c r="AW122"/>
      <c r="AX122" s="52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119"/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ht="14.45" customHeight="1" x14ac:dyDescent="0.25">
      <c r="A124" s="119"/>
      <c r="B124" t="s">
        <v>775</v>
      </c>
      <c r="D124" s="1">
        <f>COUNTIF(G124:AAN124,"✅")+COUNTIF(G124:AAN124,"✔️")</f>
        <v>9</v>
      </c>
      <c r="E124" t="s">
        <v>306</v>
      </c>
      <c r="F124" t="s">
        <v>307</v>
      </c>
      <c r="AM124" s="51"/>
      <c r="AP124" s="52"/>
      <c r="AQ124" s="51"/>
      <c r="AT124" s="52"/>
      <c r="AU124" s="51"/>
      <c r="AV124"/>
      <c r="AW124"/>
      <c r="AX124" s="52"/>
      <c r="BC124" s="30" t="s">
        <v>23</v>
      </c>
      <c r="BD124" s="30" t="s">
        <v>24</v>
      </c>
      <c r="BE124" s="30" t="s">
        <v>24</v>
      </c>
      <c r="BG124" s="80" t="s">
        <v>24</v>
      </c>
      <c r="BH124" s="30" t="s">
        <v>24</v>
      </c>
      <c r="BI124" s="30" t="s">
        <v>24</v>
      </c>
      <c r="BK124" s="76" t="s">
        <v>24</v>
      </c>
      <c r="BL124" s="30" t="s">
        <v>24</v>
      </c>
      <c r="BM124" s="30" t="s">
        <v>24</v>
      </c>
    </row>
    <row r="125" spans="1:66" x14ac:dyDescent="0.25">
      <c r="A125" s="119"/>
      <c r="B125" t="s">
        <v>776</v>
      </c>
      <c r="D125" s="1">
        <f t="shared" ref="D125:D140" si="14">COUNTIF(G125:AAN125,"✅")+COUNTIF(G125:AAN125,"✔️")</f>
        <v>9</v>
      </c>
      <c r="E125" t="s">
        <v>309</v>
      </c>
      <c r="F125" t="s">
        <v>310</v>
      </c>
      <c r="AM125" s="51"/>
      <c r="AP125" s="52"/>
      <c r="AQ125" s="51"/>
      <c r="AT125" s="52"/>
      <c r="AU125" s="51"/>
      <c r="AV125"/>
      <c r="AW125"/>
      <c r="AX125" s="52"/>
      <c r="BC125" s="30" t="s">
        <v>23</v>
      </c>
      <c r="BD125" s="30" t="s">
        <v>24</v>
      </c>
      <c r="BE125" s="30" t="s">
        <v>24</v>
      </c>
      <c r="BG125" s="80" t="s">
        <v>24</v>
      </c>
      <c r="BH125" s="30" t="s">
        <v>24</v>
      </c>
      <c r="BI125" s="30" t="s">
        <v>24</v>
      </c>
      <c r="BK125" s="76" t="s">
        <v>24</v>
      </c>
      <c r="BL125" s="30" t="s">
        <v>24</v>
      </c>
      <c r="BM125" s="30" t="s">
        <v>24</v>
      </c>
    </row>
    <row r="126" spans="1:66" x14ac:dyDescent="0.25">
      <c r="A126" s="119"/>
      <c r="B126" t="s">
        <v>777</v>
      </c>
      <c r="D126" s="1">
        <f t="shared" si="14"/>
        <v>9</v>
      </c>
      <c r="E126" t="s">
        <v>312</v>
      </c>
      <c r="F126" t="s">
        <v>313</v>
      </c>
      <c r="AM126" s="51"/>
      <c r="AP126" s="52"/>
      <c r="AQ126" s="51"/>
      <c r="AT126" s="52"/>
      <c r="AU126" s="51"/>
      <c r="AV126"/>
      <c r="AW126"/>
      <c r="AX126" s="52"/>
      <c r="BC126" s="30" t="s">
        <v>23</v>
      </c>
      <c r="BD126" s="30" t="s">
        <v>24</v>
      </c>
      <c r="BE126" s="30" t="s">
        <v>24</v>
      </c>
      <c r="BG126" s="80" t="s">
        <v>24</v>
      </c>
      <c r="BH126" s="30" t="s">
        <v>24</v>
      </c>
      <c r="BI126" s="30" t="s">
        <v>24</v>
      </c>
      <c r="BK126" s="76" t="s">
        <v>24</v>
      </c>
      <c r="BL126" s="30" t="s">
        <v>24</v>
      </c>
      <c r="BM126" s="30" t="s">
        <v>24</v>
      </c>
    </row>
    <row r="127" spans="1:66" x14ac:dyDescent="0.25">
      <c r="A127" s="119"/>
      <c r="B127" t="s">
        <v>778</v>
      </c>
      <c r="D127" s="1">
        <f t="shared" si="14"/>
        <v>9</v>
      </c>
      <c r="E127" t="s">
        <v>315</v>
      </c>
      <c r="F127" t="s">
        <v>316</v>
      </c>
      <c r="AM127" s="51"/>
      <c r="AP127" s="52"/>
      <c r="AQ127" s="51"/>
      <c r="AT127" s="52"/>
      <c r="AU127" s="51"/>
      <c r="AV127"/>
      <c r="AW127"/>
      <c r="AX127" s="52"/>
      <c r="BC127" s="30" t="s">
        <v>23</v>
      </c>
      <c r="BD127" s="30" t="s">
        <v>24</v>
      </c>
      <c r="BE127" s="30" t="s">
        <v>24</v>
      </c>
      <c r="BG127" s="80" t="s">
        <v>24</v>
      </c>
      <c r="BH127" s="30" t="s">
        <v>24</v>
      </c>
      <c r="BI127" s="30" t="s">
        <v>24</v>
      </c>
      <c r="BK127" s="76" t="s">
        <v>24</v>
      </c>
      <c r="BL127" s="30" t="s">
        <v>24</v>
      </c>
      <c r="BM127" s="30" t="s">
        <v>24</v>
      </c>
    </row>
    <row r="128" spans="1:66" x14ac:dyDescent="0.25">
      <c r="A128" s="119"/>
      <c r="B128" t="s">
        <v>779</v>
      </c>
      <c r="D128" s="1">
        <f t="shared" si="14"/>
        <v>9</v>
      </c>
      <c r="E128" t="s">
        <v>318</v>
      </c>
      <c r="F128" t="s">
        <v>319</v>
      </c>
      <c r="AM128" s="51"/>
      <c r="AP128" s="52"/>
      <c r="AQ128" s="51"/>
      <c r="AT128" s="52"/>
      <c r="AU128" s="51"/>
      <c r="AV128"/>
      <c r="AW128"/>
      <c r="AX128" s="52"/>
      <c r="BC128" s="30" t="s">
        <v>23</v>
      </c>
      <c r="BD128" s="30" t="s">
        <v>24</v>
      </c>
      <c r="BE128" s="30" t="s">
        <v>24</v>
      </c>
      <c r="BG128" s="80" t="s">
        <v>24</v>
      </c>
      <c r="BH128" s="30" t="s">
        <v>24</v>
      </c>
      <c r="BI128" s="30" t="s">
        <v>24</v>
      </c>
      <c r="BK128" s="76" t="s">
        <v>24</v>
      </c>
      <c r="BL128" s="30" t="s">
        <v>24</v>
      </c>
      <c r="BM128" s="30" t="s">
        <v>24</v>
      </c>
    </row>
    <row r="129" spans="1:66" x14ac:dyDescent="0.25">
      <c r="A129" s="119"/>
      <c r="B129" t="s">
        <v>780</v>
      </c>
      <c r="D129" s="1">
        <f t="shared" si="14"/>
        <v>9</v>
      </c>
      <c r="E129" t="s">
        <v>321</v>
      </c>
      <c r="F129" t="s">
        <v>322</v>
      </c>
      <c r="G129" s="51"/>
      <c r="H129"/>
      <c r="I129"/>
      <c r="J129"/>
      <c r="K129" s="51"/>
      <c r="L129"/>
      <c r="M129"/>
      <c r="N129"/>
      <c r="O129" s="51"/>
      <c r="P129"/>
      <c r="Q129"/>
      <c r="R129"/>
      <c r="S129" s="51"/>
      <c r="T129"/>
      <c r="U129"/>
      <c r="V129"/>
      <c r="W129" s="51"/>
      <c r="X129"/>
      <c r="Y129"/>
      <c r="Z129"/>
      <c r="AA129" s="51"/>
      <c r="AB129"/>
      <c r="AC129"/>
      <c r="AD129"/>
      <c r="AE129" s="51"/>
      <c r="AF129"/>
      <c r="AG129"/>
      <c r="AH129"/>
      <c r="AM129" s="51"/>
      <c r="AP129" s="52"/>
      <c r="AQ129" s="51"/>
      <c r="AT129" s="52"/>
      <c r="AU129" s="51"/>
      <c r="AV129"/>
      <c r="AW129"/>
      <c r="AX129" s="52"/>
      <c r="BC129" s="30" t="s">
        <v>23</v>
      </c>
      <c r="BD129" s="30" t="s">
        <v>24</v>
      </c>
      <c r="BE129" s="30" t="s">
        <v>24</v>
      </c>
      <c r="BG129" s="80" t="s">
        <v>24</v>
      </c>
      <c r="BH129" s="30" t="s">
        <v>24</v>
      </c>
      <c r="BI129" s="30" t="s">
        <v>24</v>
      </c>
      <c r="BK129" s="76" t="s">
        <v>24</v>
      </c>
      <c r="BL129" s="30" t="s">
        <v>24</v>
      </c>
      <c r="BM129" s="30" t="s">
        <v>24</v>
      </c>
      <c r="BN129"/>
    </row>
    <row r="130" spans="1:66" x14ac:dyDescent="0.25">
      <c r="A130" s="119"/>
      <c r="B130" t="s">
        <v>781</v>
      </c>
      <c r="D130" s="1">
        <f t="shared" si="14"/>
        <v>9</v>
      </c>
      <c r="E130" t="s">
        <v>324</v>
      </c>
      <c r="F130" t="s">
        <v>325</v>
      </c>
      <c r="G130" s="51"/>
      <c r="H130"/>
      <c r="I130"/>
      <c r="J130"/>
      <c r="K130" s="51"/>
      <c r="L130"/>
      <c r="M130"/>
      <c r="N130"/>
      <c r="O130" s="51"/>
      <c r="P130"/>
      <c r="Q130"/>
      <c r="R130"/>
      <c r="S130" s="51"/>
      <c r="T130"/>
      <c r="U130"/>
      <c r="V130"/>
      <c r="W130" s="51"/>
      <c r="X130"/>
      <c r="Y130"/>
      <c r="Z130"/>
      <c r="AA130" s="51"/>
      <c r="AB130"/>
      <c r="AC130"/>
      <c r="AD130"/>
      <c r="AE130" s="51"/>
      <c r="AF130"/>
      <c r="AG130"/>
      <c r="AH130"/>
      <c r="AM130" s="51"/>
      <c r="AP130" s="52"/>
      <c r="AQ130" s="51"/>
      <c r="AT130" s="52"/>
      <c r="AU130" s="51"/>
      <c r="AV130"/>
      <c r="AW130"/>
      <c r="AX130" s="52"/>
      <c r="BC130" s="30" t="s">
        <v>23</v>
      </c>
      <c r="BD130" s="30" t="s">
        <v>24</v>
      </c>
      <c r="BE130" s="30" t="s">
        <v>24</v>
      </c>
      <c r="BG130" s="80" t="s">
        <v>24</v>
      </c>
      <c r="BH130" s="30" t="s">
        <v>24</v>
      </c>
      <c r="BI130" s="30" t="s">
        <v>24</v>
      </c>
      <c r="BK130" s="76" t="s">
        <v>24</v>
      </c>
      <c r="BL130" s="30" t="s">
        <v>24</v>
      </c>
      <c r="BM130" s="30" t="s">
        <v>24</v>
      </c>
      <c r="BN130"/>
    </row>
    <row r="131" spans="1:66" x14ac:dyDescent="0.25">
      <c r="A131" s="119"/>
      <c r="B131" t="s">
        <v>782</v>
      </c>
      <c r="D131" s="1">
        <f t="shared" si="14"/>
        <v>9</v>
      </c>
      <c r="E131" t="s">
        <v>327</v>
      </c>
      <c r="F131" t="s">
        <v>328</v>
      </c>
      <c r="G131" s="51"/>
      <c r="H131"/>
      <c r="I131"/>
      <c r="J131"/>
      <c r="K131" s="51"/>
      <c r="L131"/>
      <c r="M131"/>
      <c r="N131"/>
      <c r="O131" s="51"/>
      <c r="P131"/>
      <c r="Q131"/>
      <c r="R131"/>
      <c r="S131" s="51"/>
      <c r="T131"/>
      <c r="U131"/>
      <c r="V131"/>
      <c r="W131" s="51"/>
      <c r="X131"/>
      <c r="Y131"/>
      <c r="Z131"/>
      <c r="AA131" s="51"/>
      <c r="AB131"/>
      <c r="AC131"/>
      <c r="AD131"/>
      <c r="AE131" s="51"/>
      <c r="AF131"/>
      <c r="AG131"/>
      <c r="AH131"/>
      <c r="AM131" s="51"/>
      <c r="AP131" s="52"/>
      <c r="AQ131" s="51"/>
      <c r="AT131" s="52"/>
      <c r="AU131" s="51"/>
      <c r="AV131"/>
      <c r="AW131"/>
      <c r="AX131" s="52"/>
      <c r="BC131" s="30" t="s">
        <v>23</v>
      </c>
      <c r="BD131" s="30" t="s">
        <v>24</v>
      </c>
      <c r="BE131" s="30" t="s">
        <v>24</v>
      </c>
      <c r="BG131" s="80" t="s">
        <v>24</v>
      </c>
      <c r="BH131" s="30" t="s">
        <v>24</v>
      </c>
      <c r="BI131" s="30" t="s">
        <v>24</v>
      </c>
      <c r="BK131" s="76" t="s">
        <v>24</v>
      </c>
      <c r="BL131" s="30" t="s">
        <v>24</v>
      </c>
      <c r="BM131" s="30" t="s">
        <v>24</v>
      </c>
      <c r="BN131"/>
    </row>
    <row r="132" spans="1:66" s="8" customFormat="1" ht="6.75" customHeight="1" x14ac:dyDescent="0.25">
      <c r="A132" s="119"/>
      <c r="C132" s="18"/>
      <c r="D132" s="10"/>
      <c r="G132" s="50"/>
      <c r="H132" s="38"/>
      <c r="I132" s="38"/>
      <c r="J132" s="38"/>
      <c r="K132" s="50"/>
      <c r="L132" s="38"/>
      <c r="M132" s="38"/>
      <c r="N132" s="38"/>
      <c r="O132" s="66"/>
      <c r="P132" s="33"/>
      <c r="Q132" s="33"/>
      <c r="R132" s="33"/>
      <c r="S132" s="66"/>
      <c r="T132" s="33"/>
      <c r="U132" s="33"/>
      <c r="V132" s="33"/>
      <c r="W132" s="66"/>
      <c r="X132" s="33"/>
      <c r="Y132" s="33"/>
      <c r="Z132" s="33"/>
      <c r="AA132" s="66"/>
      <c r="AB132" s="33"/>
      <c r="AC132" s="33"/>
      <c r="AD132" s="33"/>
      <c r="AE132" s="66"/>
      <c r="AF132" s="33"/>
      <c r="AG132" s="33"/>
      <c r="AH132" s="33"/>
      <c r="AI132" s="84"/>
      <c r="AL132" s="83"/>
      <c r="AU132" s="66"/>
      <c r="AV132" s="33"/>
      <c r="AW132" s="33"/>
      <c r="AX132" s="33"/>
      <c r="AY132" s="84"/>
      <c r="BB132" s="83"/>
      <c r="BK132" s="66"/>
      <c r="BL132" s="33"/>
      <c r="BM132" s="33"/>
      <c r="BN132" s="33"/>
    </row>
    <row r="133" spans="1:66" x14ac:dyDescent="0.25">
      <c r="A133" s="119"/>
      <c r="B133" t="s">
        <v>305</v>
      </c>
      <c r="D133" s="1">
        <f t="shared" si="14"/>
        <v>0</v>
      </c>
      <c r="F133" t="s">
        <v>329</v>
      </c>
      <c r="G133" s="51"/>
      <c r="H133"/>
      <c r="I133"/>
      <c r="J133"/>
      <c r="K133" s="51"/>
      <c r="L133"/>
      <c r="M133"/>
      <c r="N133"/>
      <c r="O133" s="51"/>
      <c r="P133"/>
      <c r="Q133"/>
      <c r="R133"/>
      <c r="S133" s="51"/>
      <c r="T133"/>
      <c r="U133"/>
      <c r="V133"/>
      <c r="W133" s="51"/>
      <c r="X133"/>
      <c r="Y133"/>
      <c r="Z133"/>
      <c r="AA133" s="51"/>
      <c r="AB133"/>
      <c r="AC133"/>
      <c r="AD133"/>
      <c r="AE133" s="51"/>
      <c r="AF133"/>
      <c r="AG133"/>
      <c r="AH133"/>
      <c r="AU133" s="51"/>
      <c r="AV133"/>
      <c r="AW133"/>
      <c r="AX133"/>
      <c r="BK133" s="51"/>
      <c r="BL133"/>
      <c r="BM133"/>
      <c r="BN133"/>
    </row>
    <row r="134" spans="1:66" x14ac:dyDescent="0.25">
      <c r="A134" s="119"/>
      <c r="B134" t="s">
        <v>308</v>
      </c>
      <c r="D134" s="1">
        <f t="shared" si="14"/>
        <v>0</v>
      </c>
      <c r="E134" t="s">
        <v>330</v>
      </c>
      <c r="F134" t="s">
        <v>331</v>
      </c>
      <c r="G134" s="51"/>
      <c r="H134"/>
      <c r="I134"/>
      <c r="J134"/>
      <c r="K134" s="51"/>
      <c r="L134"/>
      <c r="M134"/>
      <c r="N134"/>
      <c r="O134" s="51"/>
      <c r="P134"/>
      <c r="Q134"/>
      <c r="R134"/>
      <c r="S134" s="51"/>
      <c r="T134"/>
      <c r="U134"/>
      <c r="V134"/>
      <c r="W134" s="51"/>
      <c r="X134"/>
      <c r="Y134"/>
      <c r="Z134"/>
      <c r="AA134" s="51"/>
      <c r="AB134"/>
      <c r="AC134"/>
      <c r="AD134"/>
      <c r="AE134" s="51"/>
      <c r="AF134"/>
      <c r="AG134"/>
      <c r="AH134"/>
      <c r="AU134" s="51"/>
      <c r="AV134"/>
      <c r="AW134"/>
      <c r="AX134"/>
      <c r="BK134" s="51"/>
      <c r="BL134"/>
      <c r="BM134"/>
      <c r="BN134"/>
    </row>
    <row r="135" spans="1:66" x14ac:dyDescent="0.25">
      <c r="A135" s="119"/>
      <c r="B135" t="s">
        <v>311</v>
      </c>
      <c r="D135" s="1">
        <f t="shared" si="14"/>
        <v>0</v>
      </c>
      <c r="F135" t="s">
        <v>332</v>
      </c>
      <c r="G135" s="51"/>
      <c r="H135"/>
      <c r="I135"/>
      <c r="J135"/>
      <c r="K135" s="51"/>
      <c r="L135"/>
      <c r="M135"/>
      <c r="N135"/>
      <c r="O135" s="51"/>
      <c r="P135"/>
      <c r="Q135"/>
      <c r="R135"/>
      <c r="S135" s="51"/>
      <c r="T135"/>
      <c r="U135"/>
      <c r="V135"/>
      <c r="W135" s="51"/>
      <c r="X135"/>
      <c r="Y135"/>
      <c r="Z135"/>
      <c r="AA135" s="51"/>
      <c r="AB135"/>
      <c r="AC135"/>
      <c r="AD135"/>
      <c r="AE135" s="51"/>
      <c r="AF135"/>
      <c r="AG135"/>
      <c r="AH135"/>
      <c r="AU135" s="51"/>
      <c r="AV135"/>
      <c r="AW135"/>
      <c r="AX135"/>
      <c r="BK135" s="51"/>
      <c r="BL135"/>
      <c r="BM135"/>
      <c r="BN135"/>
    </row>
    <row r="136" spans="1:66" x14ac:dyDescent="0.25">
      <c r="A136" s="119"/>
      <c r="B136" t="s">
        <v>314</v>
      </c>
      <c r="D136" s="1">
        <f t="shared" si="14"/>
        <v>0</v>
      </c>
      <c r="F136" t="s">
        <v>333</v>
      </c>
      <c r="G136" s="51"/>
      <c r="H136"/>
      <c r="I136"/>
      <c r="J136"/>
      <c r="K136" s="51"/>
      <c r="L136"/>
      <c r="M136"/>
      <c r="N136"/>
      <c r="O136" s="51"/>
      <c r="P136"/>
      <c r="Q136"/>
      <c r="R136"/>
      <c r="S136" s="51"/>
      <c r="T136"/>
      <c r="U136"/>
      <c r="V136"/>
      <c r="W136" s="51"/>
      <c r="X136"/>
      <c r="Y136"/>
      <c r="Z136"/>
      <c r="AA136" s="51"/>
      <c r="AB136"/>
      <c r="AC136"/>
      <c r="AD136"/>
      <c r="AE136" s="51"/>
      <c r="AF136"/>
      <c r="AG136"/>
      <c r="AH136"/>
      <c r="AU136" s="51"/>
      <c r="AV136"/>
      <c r="AW136"/>
      <c r="AX136"/>
      <c r="BK136" s="51"/>
      <c r="BL136"/>
      <c r="BM136"/>
      <c r="BN136"/>
    </row>
    <row r="137" spans="1:66" x14ac:dyDescent="0.25">
      <c r="A137" s="119"/>
      <c r="B137" t="s">
        <v>317</v>
      </c>
      <c r="D137" s="1">
        <f t="shared" si="14"/>
        <v>0</v>
      </c>
      <c r="F137" t="s">
        <v>334</v>
      </c>
      <c r="G137" s="51"/>
      <c r="H137"/>
      <c r="I137"/>
      <c r="J137"/>
      <c r="K137" s="51"/>
      <c r="L137"/>
      <c r="M137"/>
      <c r="N137"/>
      <c r="O137" s="51"/>
      <c r="P137"/>
      <c r="Q137"/>
      <c r="R137"/>
      <c r="S137" s="51"/>
      <c r="T137"/>
      <c r="U137"/>
      <c r="V137"/>
      <c r="W137" s="51"/>
      <c r="X137"/>
      <c r="Y137"/>
      <c r="Z137"/>
      <c r="AA137" s="51"/>
      <c r="AB137"/>
      <c r="AC137"/>
      <c r="AD137"/>
      <c r="AE137" s="51"/>
      <c r="AF137"/>
      <c r="AG137"/>
      <c r="AH137"/>
      <c r="AU137" s="51"/>
      <c r="AV137"/>
      <c r="AW137"/>
      <c r="AX137"/>
      <c r="BK137" s="51"/>
      <c r="BL137"/>
      <c r="BM137"/>
      <c r="BN137"/>
    </row>
    <row r="138" spans="1:66" x14ac:dyDescent="0.25">
      <c r="A138" s="119"/>
      <c r="B138" t="s">
        <v>320</v>
      </c>
      <c r="D138" s="1">
        <f t="shared" si="14"/>
        <v>0</v>
      </c>
      <c r="F138" t="s">
        <v>335</v>
      </c>
      <c r="G138" s="51"/>
      <c r="H138"/>
      <c r="I138"/>
      <c r="J138"/>
      <c r="K138" s="51"/>
      <c r="L138"/>
      <c r="M138"/>
      <c r="N138"/>
      <c r="O138" s="51"/>
      <c r="P138"/>
      <c r="Q138"/>
      <c r="R138"/>
      <c r="S138" s="51"/>
      <c r="T138"/>
      <c r="U138"/>
      <c r="V138"/>
      <c r="W138" s="51"/>
      <c r="X138"/>
      <c r="Y138"/>
      <c r="Z138"/>
      <c r="AA138" s="51"/>
      <c r="AB138"/>
      <c r="AC138"/>
      <c r="AD138"/>
      <c r="AE138" s="51"/>
      <c r="AF138"/>
      <c r="AG138"/>
      <c r="AH138"/>
      <c r="AU138" s="51"/>
      <c r="AV138"/>
      <c r="AW138"/>
      <c r="AX138"/>
      <c r="BK138" s="51"/>
      <c r="BL138"/>
      <c r="BM138"/>
      <c r="BN138"/>
    </row>
    <row r="139" spans="1:66" x14ac:dyDescent="0.25">
      <c r="A139" s="119"/>
      <c r="B139" t="s">
        <v>323</v>
      </c>
      <c r="D139" s="1">
        <f t="shared" si="14"/>
        <v>0</v>
      </c>
      <c r="E139" t="s">
        <v>336</v>
      </c>
      <c r="F139" t="s">
        <v>337</v>
      </c>
      <c r="G139" s="51"/>
      <c r="H139"/>
      <c r="I139"/>
      <c r="J139"/>
      <c r="K139" s="51"/>
      <c r="L139"/>
      <c r="M139"/>
      <c r="N139"/>
      <c r="O139" s="51"/>
      <c r="P139"/>
      <c r="Q139"/>
      <c r="R139"/>
      <c r="S139" s="51"/>
      <c r="T139"/>
      <c r="U139"/>
      <c r="V139"/>
      <c r="W139" s="51"/>
      <c r="X139"/>
      <c r="Y139"/>
      <c r="Z139"/>
      <c r="AA139" s="51"/>
      <c r="AB139"/>
      <c r="AC139"/>
      <c r="AD139"/>
      <c r="AE139" s="51"/>
      <c r="AF139"/>
      <c r="AG139"/>
      <c r="AH139"/>
      <c r="AU139" s="51"/>
      <c r="AV139"/>
      <c r="AW139"/>
      <c r="AX139"/>
      <c r="BK139" s="51"/>
      <c r="BL139"/>
      <c r="BM139"/>
      <c r="BN139"/>
    </row>
    <row r="140" spans="1:66" ht="91.5" x14ac:dyDescent="0.25">
      <c r="A140" s="119" t="s">
        <v>280</v>
      </c>
      <c r="B140" t="s">
        <v>326</v>
      </c>
      <c r="D140" s="1">
        <f t="shared" si="14"/>
        <v>0</v>
      </c>
      <c r="F140" t="s">
        <v>338</v>
      </c>
      <c r="G140" s="51"/>
      <c r="H140"/>
      <c r="I140"/>
      <c r="J140"/>
      <c r="K140" s="51"/>
      <c r="L140"/>
      <c r="M140"/>
      <c r="N140"/>
      <c r="O140" s="51"/>
      <c r="P140"/>
      <c r="Q140"/>
      <c r="R140"/>
      <c r="S140" s="51"/>
      <c r="T140"/>
      <c r="U140"/>
      <c r="V140"/>
      <c r="W140" s="51"/>
      <c r="X140"/>
      <c r="Y140"/>
      <c r="Z140"/>
      <c r="AA140" s="51"/>
      <c r="AB140"/>
      <c r="AC140"/>
      <c r="AD140"/>
      <c r="AE140" s="51"/>
      <c r="AF140"/>
      <c r="AG140"/>
      <c r="AH140"/>
      <c r="AU140" s="51"/>
      <c r="AV140"/>
      <c r="AW140"/>
      <c r="AX140"/>
      <c r="BK140" s="51"/>
      <c r="BL140"/>
      <c r="BM140"/>
      <c r="BN140"/>
    </row>
  </sheetData>
  <mergeCells count="44">
    <mergeCell ref="BK1:BN1"/>
    <mergeCell ref="BK8:BN8"/>
    <mergeCell ref="AE1:AH1"/>
    <mergeCell ref="AA1:AD1"/>
    <mergeCell ref="AM9:BJ9"/>
    <mergeCell ref="G10:BJ10"/>
    <mergeCell ref="W1:Z1"/>
    <mergeCell ref="O8:R8"/>
    <mergeCell ref="D8:F8"/>
    <mergeCell ref="B6:B7"/>
    <mergeCell ref="W8:Z8"/>
    <mergeCell ref="S8:V8"/>
    <mergeCell ref="D4:F4"/>
    <mergeCell ref="D3:F3"/>
    <mergeCell ref="AQ8:AT8"/>
    <mergeCell ref="AE8:AH8"/>
    <mergeCell ref="AA8:AD8"/>
    <mergeCell ref="BC1:BF1"/>
    <mergeCell ref="BG1:BJ1"/>
    <mergeCell ref="BC8:BF8"/>
    <mergeCell ref="BG8:BJ8"/>
    <mergeCell ref="G8:J8"/>
    <mergeCell ref="O1:R1"/>
    <mergeCell ref="W9:AL9"/>
    <mergeCell ref="AI1:AL1"/>
    <mergeCell ref="B3:B4"/>
    <mergeCell ref="D7:F7"/>
    <mergeCell ref="G1:J1"/>
    <mergeCell ref="A108:A115"/>
    <mergeCell ref="AI8:AL8"/>
    <mergeCell ref="D9:F9"/>
    <mergeCell ref="AU1:AX1"/>
    <mergeCell ref="AY1:BB1"/>
    <mergeCell ref="AQ1:AT1"/>
    <mergeCell ref="AU8:AX8"/>
    <mergeCell ref="AY8:BB8"/>
    <mergeCell ref="AM1:AP1"/>
    <mergeCell ref="AM8:AP8"/>
    <mergeCell ref="K8:N8"/>
    <mergeCell ref="G9:V9"/>
    <mergeCell ref="D10:F10"/>
    <mergeCell ref="K1:N1"/>
    <mergeCell ref="S1:V1"/>
    <mergeCell ref="D6:F6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2026-09-06T16:28:31Z</dcterms:modified>
</cp:coreProperties>
</file>
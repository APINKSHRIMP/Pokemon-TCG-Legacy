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783D9178-324F-44FB-8F8B-5327D30DE239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7" i="1" l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G8" i="1" s="1"/>
  <c r="BF6" i="1"/>
  <c r="BE6" i="1"/>
  <c r="BD6" i="1"/>
  <c r="BC6" i="1"/>
  <c r="BC8" i="1" s="1"/>
  <c r="BC9" i="1" s="1"/>
  <c r="BB6" i="1"/>
  <c r="BA6" i="1"/>
  <c r="AZ6" i="1"/>
  <c r="AY6" i="1"/>
  <c r="AX6" i="1"/>
  <c r="AW6" i="1"/>
  <c r="AV6" i="1"/>
  <c r="AU6" i="1"/>
  <c r="AU8" i="1" s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33" i="1"/>
  <c r="D132" i="1"/>
  <c r="D131" i="1"/>
  <c r="D130" i="1"/>
  <c r="D129" i="1"/>
  <c r="D128" i="1"/>
  <c r="D127" i="1"/>
  <c r="D126" i="1"/>
  <c r="D124" i="1"/>
  <c r="D123" i="1"/>
  <c r="D122" i="1"/>
  <c r="D121" i="1"/>
  <c r="D120" i="1"/>
  <c r="D119" i="1"/>
  <c r="D118" i="1"/>
  <c r="D117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AY8" i="1" l="1"/>
  <c r="AQ8" i="1"/>
  <c r="AM8" i="1"/>
  <c r="G8" i="1"/>
  <c r="AI8" i="1"/>
  <c r="W8" i="1"/>
  <c r="AE8" i="1"/>
  <c r="AA8" i="1"/>
  <c r="O8" i="1"/>
  <c r="K8" i="1"/>
  <c r="S8" i="1"/>
  <c r="AM9" i="1" l="1"/>
  <c r="G10" i="1"/>
  <c r="W9" i="1"/>
  <c r="G9" i="1"/>
</calcChain>
</file>

<file path=xl/sharedStrings.xml><?xml version="1.0" encoding="utf-8"?>
<sst xmlns="http://schemas.openxmlformats.org/spreadsheetml/2006/main" count="2186" uniqueCount="836">
  <si>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</si>
  <si>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</si>
  <si>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</si>
  <si>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</si>
  <si>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</si>
  <si>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</si>
  <si>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</si>
  <si>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</si>
  <si>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</si>
  <si>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</si>
  <si>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</si>
  <si>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</si>
  <si>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</si>
  <si>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</si>
  <si>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</si>
  <si>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</si>
  <si>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</si>
  <si>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</si>
  <si>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</si>
  <si>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</si>
  <si>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</si>
  <si>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</si>
  <si>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</si>
  <si>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</si>
  <si>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</si>
  <si>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</si>
  <si>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</si>
  <si>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</si>
  <si>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</si>
  <si>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</si>
  <si>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</si>
  <si>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</si>
  <si>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</si>
  <si>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</si>
  <si>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</si>
  <si>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</si>
  <si>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</si>
  <si>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</si>
  <si>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</si>
  <si>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</si>
  <si>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</si>
  <si>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</si>
  <si>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</si>
  <si>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</si>
  <si>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</si>
  <si>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</si>
  <si>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</si>
  <si>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</si>
  <si>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</si>
  <si>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</si>
  <si>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</si>
  <si>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</si>
  <si>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</si>
  <si>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</si>
  <si>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</si>
  <si>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</si>
  <si>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</si>
  <si>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</si>
  <si>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</si>
  <si>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</si>
  <si>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</si>
  <si>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</si>
  <si>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</si>
  <si>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</si>
  <si>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</si>
  <si>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</si>
  <si>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</si>
  <si>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</si>
  <si>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</si>
  <si>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</si>
  <si>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</si>
  <si>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</si>
  <si>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</si>
  <si>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</si>
  <si>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</si>
  <si>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</si>
  <si>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</si>
  <si>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</si>
  <si>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</si>
  <si>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</si>
  <si>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</si>
  <si>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</si>
  <si>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</si>
  <si>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</si>
  <si>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</si>
  <si>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</si>
  <si>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</si>
  <si>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</si>
  <si>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</si>
  <si>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</si>
  <si>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</si>
  <si>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</si>
  <si>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</si>
  <si>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</si>
  <si>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</si>
  <si>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</si>
  <si>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</si>
  <si>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</si>
  <si>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</si>
  <si>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</si>
  <si>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</si>
  <si>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</si>
  <si>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</si>
  <si>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</si>
  <si>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</si>
  <si>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</si>
  <si>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</si>
  <si>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</si>
  <si>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</si>
  <si>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</si>
  <si>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</si>
  <si>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</si>
  <si>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</si>
  <si>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</si>
  <si>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</si>
  <si>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</si>
  <si>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</si>
  <si>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</si>
  <si>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</si>
  <si>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</si>
  <si>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</si>
  <si>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</si>
  <si>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</si>
  <si>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</si>
  <si>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</si>
  <si>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</si>
  <si>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</si>
  <si>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</si>
  <si>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</si>
  <si>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</si>
  <si>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</si>
  <si>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</si>
  <si>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</si>
  <si>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</si>
  <si>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</si>
  <si>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</si>
  <si>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</si>
  <si>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</si>
  <si>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</si>
  <si>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</si>
  <si>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</si>
  <si>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</si>
  <si>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</si>
  <si>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</si>
  <si>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</si>
  <si>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</si>
  <si>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</si>
  <si>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</si>
  <si>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</si>
  <si>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</si>
  <si>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</si>
  <si>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</si>
  <si>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</si>
  <si>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</si>
  <si>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</si>
  <si>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</si>
  <si>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</si>
  <si>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</si>
  <si>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</si>
  <si>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</si>
  <si>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</si>
  <si>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</si>
  <si>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</si>
  <si>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</si>
  <si>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</si>
  <si>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</si>
  <si>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</si>
  <si>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</si>
  <si>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</si>
  <si>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</si>
  <si>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</si>
  <si>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</si>
  <si>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</si>
  <si>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</si>
  <si>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</si>
  <si>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</si>
  <si>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</si>
  <si>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</si>
  <si>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</si>
  <si>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</si>
  <si>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</si>
  <si>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</si>
  <si>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</si>
  <si>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</si>
  <si>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</si>
  <si>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</si>
  <si>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</si>
  <si>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</si>
  <si>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</si>
  <si>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</si>
  <si>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</si>
  <si>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</si>
  <si>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</si>
  <si>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</si>
  <si>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</si>
  <si>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</si>
  <si>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</si>
  <si>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</si>
  <si>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</si>
  <si>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</si>
  <si>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</si>
  <si>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</si>
  <si>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</si>
  <si>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</si>
  <si>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</si>
  <si>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</si>
  <si>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</si>
  <si>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</si>
  <si>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</si>
  <si>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</si>
  <si>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</si>
  <si>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</si>
  <si>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</si>
  <si>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</si>
  <si>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</si>
  <si>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</si>
  <si>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</si>
  <si>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</si>
  <si>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</si>
  <si>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</si>
  <si>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</si>
  <si>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</si>
  <si>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</si>
  <si>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</si>
  <si>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</si>
  <si>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</si>
  <si>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</si>
  <si>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</si>
  <si>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</si>
  <si>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</si>
  <si>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</si>
  <si>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</si>
  <si>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</si>
  <si>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</si>
  <si>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</si>
  <si>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</si>
  <si>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</si>
  <si>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</si>
  <si>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</si>
  <si>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</si>
  <si>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</si>
  <si>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</si>
  <si>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</si>
  <si>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</si>
  <si>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</si>
  <si>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</si>
  <si>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</si>
  <si>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</si>
  <si>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</si>
  <si>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</si>
  <si>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</si>
  <si>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</si>
  <si>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</si>
  <si>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</si>
  <si>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</si>
  <si>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</si>
  <si>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</si>
  <si>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</si>
  <si>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</si>
  <si>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</si>
  <si>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</si>
  <si>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</si>
  <si>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</si>
  <si>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</si>
  <si>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</si>
  <si>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</si>
  <si>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</si>
  <si>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</si>
  <si>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</si>
  <si>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</si>
  <si>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</si>
  <si>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</si>
  <si>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</si>
  <si>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</si>
  <si>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</si>
  <si>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</si>
  <si>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</si>
  <si>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</si>
  <si>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</si>
  <si>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</si>
  <si>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</si>
  <si>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</si>
  <si>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</si>
  <si>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</si>
  <si>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</si>
  <si>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</si>
  <si>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</si>
  <si>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</si>
  <si>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</si>
  <si>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</si>
  <si>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</si>
  <si>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</si>
  <si>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</si>
  <si>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</si>
  <si>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</si>
  <si>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</si>
  <si>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</si>
  <si>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</si>
  <si>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</si>
  <si>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</si>
  <si>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</si>
  <si>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</si>
  <si>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</si>
  <si>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</si>
  <si>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</si>
  <si>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</si>
  <si>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</si>
  <si>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</si>
  <si>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</si>
  <si>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</si>
  <si>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</si>
  <si>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</si>
  <si>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</si>
  <si>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</si>
  <si>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</si>
  <si>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</si>
  <si>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</si>
  <si>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</si>
  <si>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</si>
  <si>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</si>
  <si>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</si>
  <si>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</si>
  <si>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</si>
  <si>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</si>
  <si>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</si>
  <si>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</si>
  <si>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</si>
  <si>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</si>
  <si>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</si>
  <si>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</si>
  <si>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</si>
  <si>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</si>
  <si>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</si>
  <si>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</si>
  <si>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</si>
  <si>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</si>
  <si>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</si>
  <si>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</si>
  <si>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</si>
  <si>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</si>
  <si>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</si>
  <si>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</si>
  <si>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</si>
  <si>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</si>
  <si>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</si>
  <si>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</si>
  <si>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</si>
  <si>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</si>
  <si>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</si>
  <si>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</si>
  <si>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</si>
  <si>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</si>
  <si>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</si>
  <si>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</si>
  <si>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</si>
  <si>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</si>
  <si>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</si>
  <si>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</si>
  <si>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</si>
  <si>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</si>
  <si>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</si>
  <si>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</si>
  <si>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</si>
  <si>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</si>
  <si>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</si>
  <si>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</si>
  <si>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</si>
  <si>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</si>
  <si>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</si>
  <si>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</si>
  <si>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</si>
  <si>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</si>
  <si>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</si>
  <si>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</si>
  <si>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</si>
  <si>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</si>
  <si>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</si>
  <si>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</si>
  <si>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</si>
  <si>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</si>
  <si>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</si>
  <si>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</si>
  <si>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</si>
  <si>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</si>
  <si>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</si>
  <si>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</si>
  <si>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</si>
  <si>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</si>
  <si>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</si>
  <si>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</si>
  <si>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</si>
  <si>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</si>
  <si>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</si>
  <si>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</si>
  <si>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</si>
  <si>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</si>
  <si>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</si>
  <si>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</si>
  <si>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</si>
  <si>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</si>
  <si>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</si>
  <si>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</si>
  <si>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</si>
  <si>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</si>
  <si>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</si>
  <si>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</si>
  <si>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</si>
  <si>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</si>
  <si>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</si>
  <si>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</si>
  <si>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</si>
  <si>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</si>
  <si>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</si>
  <si>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</si>
  <si>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</si>
  <si>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</si>
  <si>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</si>
  <si>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</si>
  <si>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</si>
  <si>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</si>
  <si>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</si>
  <si>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</si>
  <si>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</si>
  <si>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</si>
  <si>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</si>
  <si>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</si>
  <si>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</si>
  <si>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</si>
  <si>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</si>
  <si>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</si>
  <si>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</si>
  <si>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</si>
  <si>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</si>
  <si>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</si>
  <si>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</si>
  <si>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</si>
  <si>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</si>
  <si>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</si>
  <si>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</si>
  <si>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</si>
  <si>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</si>
  <si>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</si>
  <si>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</si>
  <si>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</si>
  <si>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</si>
  <si>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</si>
  <si>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</si>
  <si>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</si>
  <si>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</si>
  <si>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</si>
  <si>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</si>
  <si>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</si>
  <si>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</si>
  <si>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</si>
  <si>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</si>
  <si>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</si>
  <si>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</si>
  <si>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</si>
  <si>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</si>
  <si>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</si>
  <si>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</si>
  <si>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</si>
  <si>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</si>
  <si>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</si>
  <si>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</si>
  <si>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</si>
  <si>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</si>
  <si>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</si>
  <si>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</si>
  <si>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</si>
  <si>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</si>
  <si>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</si>
  <si>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</si>
  <si>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</si>
  <si>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</si>
  <si>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</si>
  <si>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</si>
  <si>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</si>
  <si>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</si>
  <si>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</si>
  <si>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</si>
  <si>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</si>
  <si>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</si>
  <si>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</si>
  <si>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</si>
  <si>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</si>
  <si>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</si>
  <si>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</si>
  <si>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</si>
  <si>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</si>
  <si>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</si>
  <si>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</si>
  <si>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</si>
  <si>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</si>
  <si>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</si>
  <si>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</si>
  <si>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</si>
  <si>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</si>
  <si>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</si>
  <si>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</si>
  <si>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</si>
  <si>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</si>
  <si>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</si>
  <si>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</si>
  <si>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</si>
  <si>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</si>
  <si>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</si>
  <si>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</si>
  <si>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</si>
  <si>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</si>
  <si>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</si>
  <si>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</si>
  <si>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</si>
  <si>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</si>
  <si>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</si>
  <si>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</si>
  <si>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</si>
  <si>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</si>
  <si>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</si>
  <si>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</si>
  <si>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</si>
  <si>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</si>
  <si>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</si>
  <si>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</si>
  <si>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</si>
  <si>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</si>
  <si>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</si>
  <si>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</si>
  <si>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</si>
  <si>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</si>
  <si>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</si>
  <si>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</si>
  <si>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</si>
  <si>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</si>
  <si>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</si>
  <si>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</si>
  <si>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</si>
  <si>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</si>
  <si>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</si>
  <si>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</si>
  <si>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</si>
  <si>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</si>
  <si>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</si>
  <si>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</si>
  <si>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</si>
  <si>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</si>
  <si>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</si>
  <si>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</si>
  <si>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</si>
  <si>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</si>
  <si>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</si>
  <si>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</si>
  <si>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</si>
  <si>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</si>
  <si>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</si>
  <si>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</si>
  <si>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</si>
  <si>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</si>
  <si>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</si>
  <si>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</si>
  <si>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</si>
  <si>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</si>
  <si>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</si>
  <si>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</si>
  <si>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</si>
  <si>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</si>
  <si>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</si>
  <si>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</si>
  <si>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</si>
  <si>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</si>
  <si>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</si>
  <si>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</si>
  <si>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</si>
  <si>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</si>
  <si>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</si>
  <si>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</si>
  <si>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</si>
  <si>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</si>
  <si>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</si>
  <si>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</si>
  <si>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</si>
  <si>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</si>
  <si>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</si>
  <si>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</si>
  <si>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</si>
  <si>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</si>
  <si>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</si>
  <si>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</si>
  <si>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</si>
  <si>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</si>
  <si>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</si>
  <si>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</si>
  <si>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</si>
  <si>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</si>
  <si>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</si>
  <si>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</si>
  <si>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</si>
  <si>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</si>
  <si>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</si>
  <si>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</si>
  <si>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</si>
  <si>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</si>
  <si>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</si>
  <si>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</si>
  <si>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</si>
  <si>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</si>
  <si>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</si>
  <si>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</si>
  <si>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</si>
  <si>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</si>
  <si>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</si>
  <si>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</si>
  <si>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</si>
  <si>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</si>
  <si>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</si>
  <si>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</si>
  <si>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</si>
  <si>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</si>
  <si>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</si>
  <si>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</si>
  <si>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</si>
  <si>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</si>
  <si>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</si>
  <si>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</si>
  <si>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</si>
  <si>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</si>
  <si>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</si>
  <si>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</si>
  <si>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</si>
  <si>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</si>
  <si>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</si>
  <si>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</si>
  <si>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</si>
  <si>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</si>
  <si>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</si>
  <si>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</si>
  <si>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</si>
  <si>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</si>
  <si>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</si>
  <si>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</si>
  <si>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</si>
  <si>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</si>
  <si>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</si>
  <si>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</si>
  <si>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</si>
  <si>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</si>
  <si>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</si>
  <si>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</si>
  <si>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</si>
  <si>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</si>
  <si>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</si>
  <si>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</si>
  <si>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</si>
  <si>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</si>
  <si>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</si>
  <si>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</si>
  <si>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</si>
  <si>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</si>
  <si>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</si>
  <si>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</si>
  <si>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</si>
  <si>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</si>
  <si>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</si>
  <si>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</si>
  <si>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</si>
  <si>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</si>
  <si>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</si>
  <si>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</si>
  <si>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</si>
  <si>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</si>
  <si>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</si>
  <si>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</si>
  <si>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</si>
  <si>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</si>
  <si>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</si>
  <si>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</si>
  <si>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</si>
  <si>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</si>
  <si>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</si>
  <si>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</si>
  <si>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</si>
  <si>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</si>
  <si>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</si>
  <si>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</si>
  <si>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</si>
  <si>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</si>
  <si>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</si>
  <si>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</si>
  <si>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</si>
  <si>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</si>
  <si>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</si>
  <si>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</si>
  <si>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</si>
  <si>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</si>
  <si>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</si>
  <si>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</si>
  <si>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</si>
  <si>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</si>
  <si>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</si>
  <si>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</si>
  <si>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</si>
  <si>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</si>
  <si>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</si>
  <si>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</si>
  <si>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</si>
  <si>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</si>
  <si>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</si>
  <si>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</si>
  <si>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</si>
  <si>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</si>
  <si>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</si>
  <si>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</si>
  <si>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</si>
  <si>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</si>
  <si>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</si>
  <si>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</si>
  <si>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</si>
  <si>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</si>
  <si>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</si>
  <si>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</si>
  <si>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</si>
  <si>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</si>
  <si>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</si>
  <si>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</si>
  <si>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</si>
  <si>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</si>
  <si>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</si>
  <si>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</si>
  <si>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</si>
  <si>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</si>
  <si>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</si>
  <si>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</si>
  <si>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</si>
  <si>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</si>
  <si>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</si>
  <si>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</si>
  <si>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</si>
  <si>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</si>
  <si>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</si>
  <si>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</si>
  <si>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</si>
  <si>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</si>
  <si>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</si>
  <si>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</si>
  <si>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</si>
  <si>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</si>
  <si>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</si>
  <si>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</si>
  <si>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</si>
  <si>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</si>
  <si>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</si>
  <si>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</si>
  <si>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</si>
  <si>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</si>
  <si>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</si>
  <si>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</si>
  <si>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</si>
  <si>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</si>
  <si>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</si>
  <si>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</si>
  <si>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</si>
  <si>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</si>
  <si>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</si>
  <si>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</si>
  <si>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</si>
  <si>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</si>
  <si>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</si>
  <si>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</si>
  <si>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</si>
  <si>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</si>
  <si>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</si>
  <si>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</si>
  <si>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CELESTE HARBOUR
VERDANT FOREST
8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</si>
  <si>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</si>
  <si>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</si>
  <si>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</si>
  <si>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</si>
  <si>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</si>
  <si>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</si>
  <si>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</si>
  <si>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</si>
  <si>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</si>
  <si>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</si>
  <si>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</si>
  <si>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GYM CHALLENGE
9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</si>
  <si>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</si>
  <si>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</si>
  <si>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</si>
  <si>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</si>
  <si>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</si>
  <si>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</si>
  <si>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</si>
  <si>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</si>
  <si>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</si>
  <si>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</si>
  <si>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</si>
  <si>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</si>
  <si>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</si>
  <si>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</si>
  <si>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</si>
  <si>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</si>
  <si>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</si>
  <si>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</si>
  <si>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</si>
  <si>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</si>
  <si>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</si>
  <si>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</si>
  <si>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</si>
  <si>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</si>
  <si>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</si>
  <si>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</si>
  <si>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</si>
  <si>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</si>
  <si>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</si>
  <si>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</si>
  <si>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</si>
  <si>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</si>
  <si>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</si>
  <si>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</si>
  <si>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</si>
  <si>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</si>
  <si>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</si>
  <si>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</si>
  <si>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</si>
  <si>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</si>
  <si>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</si>
  <si>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</si>
  <si>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GYM CHALLENGE
10</t>
  </si>
  <si>
    <t>Morn10</t>
  </si>
  <si>
    <t>After 10</t>
  </si>
  <si>
    <t>Eve 10</t>
  </si>
  <si>
    <t>Nite 10</t>
  </si>
  <si>
    <t>GYM CHALLENGE
11</t>
  </si>
  <si>
    <t>GYM CHALLENGE
12</t>
  </si>
  <si>
    <t>GYM CHALLENGE
13</t>
  </si>
  <si>
    <t>GYM CHALLENGE
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</si>
</sst>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right" vertical="center" wrapText="1"/>
    </xf>
    <xf numFmtId="0" fontId="0" fillId="0" borderId="0" xfId="0"/>
    <xf numFmtId="0" fontId="1" fillId="5" borderId="4" xfId="0" applyFont="1" applyFill="1" applyBorder="1" applyAlignment="1">
      <alignment horizontal="center"/>
    </xf>
    <xf numFmtId="0" fontId="0" fillId="0" borderId="4" xfId="0" applyBorder="1"/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4" borderId="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1" fillId="34" borderId="0" xfId="0" applyFont="1" applyFill="1" applyAlignment="1">
      <alignment horizontal="center" vertical="center" textRotation="90"/>
    </xf>
    <xf numFmtId="0" fontId="1" fillId="10" borderId="0" xfId="0" applyFont="1" applyFill="1" applyAlignment="1">
      <alignment horizontal="center" vertical="center" textRotation="90"/>
    </xf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/>
    </xf>
    <xf numFmtId="0" fontId="3" fillId="2" borderId="23" xfId="0" applyFont="1" applyFill="1" applyBorder="1" applyAlignment="1">
      <alignment vertical="center"/>
    </xf>
    <xf numFmtId="0" fontId="3" fillId="2" borderId="6" xfId="0" applyFont="1" applyFill="1" applyBorder="1" applyAlignment="1">
      <alignment vertical="center"/>
    </xf>
    <xf numFmtId="0" fontId="3" fillId="2" borderId="17" xfId="0" applyFont="1" applyFill="1" applyBorder="1" applyAlignment="1">
      <alignment vertical="center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33"/>
  <sheetViews>
    <sheetView tabSelected="1" zoomScale="112" zoomScaleNormal="100" workbookViewId="0">
      <pane xSplit="2" ySplit="8" topLeftCell="AE82" activePane="bottomRight" state="frozen"/>
      <selection pane="topRight" activeCell="C1" sqref="C1"/>
      <selection pane="bottomLeft" activeCell="A9" sqref="A9"/>
      <selection pane="bottomRight" activeCell="AY117" sqref="AY117:BA124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</cols>
  <sheetData>
    <row r="1" spans="1:62" ht="41.25" customHeight="1" x14ac:dyDescent="0.25">
      <c r="G1" s="121" t="s">
        <v>771</v>
      </c>
      <c r="H1" s="122"/>
      <c r="I1" s="122"/>
      <c r="J1" s="123"/>
      <c r="K1" s="180" t="s">
        <v>770</v>
      </c>
      <c r="L1" s="181"/>
      <c r="M1" s="181"/>
      <c r="N1" s="182"/>
      <c r="O1" s="190" t="s">
        <v>769</v>
      </c>
      <c r="P1" s="191"/>
      <c r="Q1" s="191"/>
      <c r="R1" s="192"/>
      <c r="S1" s="183" t="s">
        <v>768</v>
      </c>
      <c r="T1" s="184"/>
      <c r="U1" s="184"/>
      <c r="V1" s="185"/>
      <c r="W1" s="124" t="s">
        <v>765</v>
      </c>
      <c r="X1" s="125"/>
      <c r="Y1" s="126"/>
      <c r="Z1" s="127"/>
      <c r="AA1" s="152" t="s">
        <v>766</v>
      </c>
      <c r="AB1" s="153"/>
      <c r="AC1" s="154"/>
      <c r="AD1" s="155"/>
      <c r="AE1" s="148" t="s">
        <v>767</v>
      </c>
      <c r="AF1" s="149"/>
      <c r="AG1" s="150"/>
      <c r="AH1" s="151"/>
      <c r="AI1" s="193" t="s">
        <v>772</v>
      </c>
      <c r="AJ1" s="194"/>
      <c r="AK1" s="195"/>
      <c r="AL1" s="196"/>
      <c r="AM1" s="166" t="s">
        <v>784</v>
      </c>
      <c r="AN1" s="167"/>
      <c r="AO1" s="168"/>
      <c r="AP1" s="169"/>
      <c r="AQ1" s="166" t="s">
        <v>827</v>
      </c>
      <c r="AR1" s="167"/>
      <c r="AS1" s="168"/>
      <c r="AT1" s="169"/>
      <c r="AU1" s="166" t="s">
        <v>832</v>
      </c>
      <c r="AV1" s="167"/>
      <c r="AW1" s="168"/>
      <c r="AX1" s="169"/>
      <c r="AY1" s="166" t="s">
        <v>833</v>
      </c>
      <c r="AZ1" s="167"/>
      <c r="BA1" s="168"/>
      <c r="BB1" s="169"/>
      <c r="BC1" s="166" t="s">
        <v>834</v>
      </c>
      <c r="BD1" s="167"/>
      <c r="BE1" s="168"/>
      <c r="BF1" s="169"/>
      <c r="BG1" s="166" t="s">
        <v>835</v>
      </c>
      <c r="BH1" s="167"/>
      <c r="BI1" s="168"/>
      <c r="BJ1" s="169"/>
    </row>
    <row r="2" spans="1:62" ht="16.5" customHeight="1" thickBot="1" x14ac:dyDescent="0.3">
      <c r="G2" s="39" t="s">
        <v>787</v>
      </c>
      <c r="H2" s="19" t="s">
        <v>790</v>
      </c>
      <c r="I2" s="92" t="s">
        <v>1</v>
      </c>
      <c r="J2" s="20" t="s">
        <v>758</v>
      </c>
      <c r="K2" s="55" t="s">
        <v>788</v>
      </c>
      <c r="L2" s="101" t="s">
        <v>791</v>
      </c>
      <c r="M2" s="98" t="s">
        <v>2</v>
      </c>
      <c r="N2" s="21" t="s">
        <v>759</v>
      </c>
      <c r="O2" s="59" t="s">
        <v>792</v>
      </c>
      <c r="P2" s="22" t="s">
        <v>789</v>
      </c>
      <c r="Q2" s="106" t="s">
        <v>3</v>
      </c>
      <c r="R2" s="23" t="s">
        <v>760</v>
      </c>
      <c r="S2" s="69" t="s">
        <v>818</v>
      </c>
      <c r="T2" s="109" t="s">
        <v>796</v>
      </c>
      <c r="U2" s="111" t="s">
        <v>4</v>
      </c>
      <c r="V2" s="24" t="s">
        <v>761</v>
      </c>
      <c r="W2" s="39" t="s">
        <v>819</v>
      </c>
      <c r="X2" s="19" t="s">
        <v>809</v>
      </c>
      <c r="Y2" s="92" t="s">
        <v>5</v>
      </c>
      <c r="Z2" s="20" t="s">
        <v>762</v>
      </c>
      <c r="AA2" s="55" t="s">
        <v>820</v>
      </c>
      <c r="AB2" s="101" t="s">
        <v>810</v>
      </c>
      <c r="AC2" s="98" t="s">
        <v>6</v>
      </c>
      <c r="AD2" s="20" t="s">
        <v>763</v>
      </c>
      <c r="AE2" s="73" t="s">
        <v>821</v>
      </c>
      <c r="AF2" s="25" t="s">
        <v>826</v>
      </c>
      <c r="AG2" s="106" t="s">
        <v>7</v>
      </c>
      <c r="AH2" s="27" t="s">
        <v>764</v>
      </c>
      <c r="AI2" s="78" t="s">
        <v>822</v>
      </c>
      <c r="AJ2" s="26" t="s">
        <v>825</v>
      </c>
      <c r="AK2" s="26" t="s">
        <v>773</v>
      </c>
      <c r="AL2" s="79" t="s">
        <v>774</v>
      </c>
      <c r="AM2" s="85" t="s">
        <v>823</v>
      </c>
      <c r="AN2" s="87" t="s">
        <v>824</v>
      </c>
      <c r="AO2" s="87" t="s">
        <v>785</v>
      </c>
      <c r="AP2" s="89" t="s">
        <v>786</v>
      </c>
      <c r="AQ2" s="85" t="s">
        <v>828</v>
      </c>
      <c r="AR2" s="87" t="s">
        <v>829</v>
      </c>
      <c r="AS2" s="87" t="s">
        <v>830</v>
      </c>
      <c r="AT2" s="89" t="s">
        <v>831</v>
      </c>
      <c r="AU2" s="73" t="s">
        <v>821</v>
      </c>
      <c r="AV2" s="25" t="s">
        <v>826</v>
      </c>
      <c r="AW2" s="106" t="s">
        <v>7</v>
      </c>
      <c r="AX2" s="27" t="s">
        <v>764</v>
      </c>
      <c r="AY2" s="78" t="s">
        <v>822</v>
      </c>
      <c r="AZ2" s="26" t="s">
        <v>825</v>
      </c>
      <c r="BA2" s="26" t="s">
        <v>773</v>
      </c>
      <c r="BB2" s="79" t="s">
        <v>774</v>
      </c>
      <c r="BC2" s="85" t="s">
        <v>823</v>
      </c>
      <c r="BD2" s="87" t="s">
        <v>824</v>
      </c>
      <c r="BE2" s="87" t="s">
        <v>785</v>
      </c>
      <c r="BF2" s="89" t="s">
        <v>786</v>
      </c>
      <c r="BG2" s="85" t="s">
        <v>828</v>
      </c>
      <c r="BH2" s="87" t="s">
        <v>829</v>
      </c>
      <c r="BI2" s="87" t="s">
        <v>830</v>
      </c>
      <c r="BJ2" s="89" t="s">
        <v>831</v>
      </c>
    </row>
    <row r="3" spans="1:62" ht="16.5" customHeight="1" thickBot="1" x14ac:dyDescent="0.3">
      <c r="B3" s="117" t="s">
        <v>8</v>
      </c>
      <c r="C3" s="12"/>
      <c r="D3" s="146" t="s">
        <v>9</v>
      </c>
      <c r="E3" s="118"/>
      <c r="F3" s="120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CD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J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</row>
    <row r="4" spans="1:62" ht="16.5" customHeight="1" x14ac:dyDescent="0.25">
      <c r="B4" s="118"/>
      <c r="C4" s="13"/>
      <c r="D4" s="146" t="s">
        <v>10</v>
      </c>
      <c r="E4" s="118"/>
      <c r="F4" s="120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CD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J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</row>
    <row r="5" spans="1:62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2" ht="16.5" customHeight="1" x14ac:dyDescent="0.25">
      <c r="B6" s="133" t="s">
        <v>11</v>
      </c>
      <c r="C6" s="14"/>
      <c r="D6" s="119" t="s">
        <v>9</v>
      </c>
      <c r="E6" s="118"/>
      <c r="F6" s="120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7</v>
      </c>
      <c r="X6" s="41">
        <f t="shared" si="6"/>
        <v>3</v>
      </c>
      <c r="Y6" s="93">
        <f t="shared" si="6"/>
        <v>4</v>
      </c>
      <c r="Z6" s="53">
        <f t="shared" si="6"/>
        <v>2</v>
      </c>
      <c r="AA6" s="95">
        <f t="shared" si="6"/>
        <v>6</v>
      </c>
      <c r="AB6" s="102">
        <f t="shared" si="6"/>
        <v>3</v>
      </c>
      <c r="AC6" s="99">
        <f t="shared" si="6"/>
        <v>4</v>
      </c>
      <c r="AD6" s="53">
        <f t="shared" si="6"/>
        <v>3</v>
      </c>
      <c r="AE6" s="74">
        <f t="shared" si="6"/>
        <v>5</v>
      </c>
      <c r="AF6" s="75">
        <f t="shared" si="6"/>
        <v>3</v>
      </c>
      <c r="AG6" s="107">
        <f t="shared" si="6"/>
        <v>4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1</v>
      </c>
      <c r="AL6" s="81">
        <f t="shared" si="6"/>
        <v>0</v>
      </c>
      <c r="AM6" s="86">
        <f>COUNTIF(AM60:AM120,"✅")</f>
        <v>4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COUNTIF(AQ60:AQ120,"✅")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J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COUNTIF(BC60:BC120,"✅")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COUNTIF(BG60:BG120,"✅")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</row>
    <row r="7" spans="1:62" ht="16.5" customHeight="1" x14ac:dyDescent="0.25">
      <c r="B7" s="118"/>
      <c r="C7" s="15"/>
      <c r="D7" s="119" t="s">
        <v>10</v>
      </c>
      <c r="E7" s="118"/>
      <c r="F7" s="120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>COUNTIF(W60:W116,"✅")+COUNTIF(W60:W116,"✔️")</f>
        <v>7</v>
      </c>
      <c r="X7" s="41">
        <f>COUNTIF(X60:X116,"✅")+COUNTIF(X60:X116,"✔️")</f>
        <v>10</v>
      </c>
      <c r="Y7" s="93">
        <f>COUNTIF(Y60:Y116,"✅")+COUNTIF(Y60:Y116,"✔️")</f>
        <v>8</v>
      </c>
      <c r="Z7" s="53">
        <f>COUNTIF(Z60:Z116,"✅")+COUNTIF(Z60:Z116,"✔️")</f>
        <v>6</v>
      </c>
      <c r="AA7" s="95">
        <f>COUNTIF(AA60:AA116,"✅")+COUNTIF(AA60:AA116,"✔️")</f>
        <v>15</v>
      </c>
      <c r="AB7" s="102">
        <f>COUNTIF(AB60:AB116,"✅")+COUNTIF(AB60:AB116,"✔️")</f>
        <v>19</v>
      </c>
      <c r="AC7" s="99">
        <f>COUNTIF(AC60:AC116,"✅")+COUNTIF(AC60:AC116,"✔️")</f>
        <v>12</v>
      </c>
      <c r="AD7" s="53">
        <f>COUNTIF(AD60:AD116,"✅")+COUNTIF(AD60:AD116,"✔️")</f>
        <v>11</v>
      </c>
      <c r="AE7" s="74">
        <f>COUNTIF(AE60:AE116,"✅")+COUNTIF(AE60:AE116,"✔️")</f>
        <v>15</v>
      </c>
      <c r="AF7" s="75">
        <f>COUNTIF(AF60:AF116,"✅")+COUNTIF(AF60:AF116,"✔️")</f>
        <v>20</v>
      </c>
      <c r="AG7" s="107">
        <f>COUNTIF(AG60:AG116,"✅")+COUNTIF(AG60:AG116,"✔️")</f>
        <v>14</v>
      </c>
      <c r="AH7" s="77">
        <f>COUNTIF(AH60:AH116,"✅")+COUNTIF(AH60:AH116,"✔️")</f>
        <v>16</v>
      </c>
      <c r="AI7" s="80">
        <f>COUNTIF(AI60:AI116,"✅")+COUNTIF(AI60:AI116,"✔️")</f>
        <v>16</v>
      </c>
      <c r="AJ7" s="30">
        <f>COUNTIF(AJ60:AJ116,"✅")+COUNTIF(AJ60:AJ116,"✔️")</f>
        <v>21</v>
      </c>
      <c r="AK7" s="30">
        <f>COUNTIF(AK60:AK116,"✅")+COUNTIF(AK60:AK116,"✔️")</f>
        <v>13</v>
      </c>
      <c r="AL7" s="81">
        <f>COUNTIF(AL60:AL116,"✅")+COUNTIF(AL60:AL116,"✔️")</f>
        <v>12</v>
      </c>
      <c r="AM7" s="86">
        <f>COUNTIF(AM60:AM116,"✅")+COUNTIF(AM60:AM116,"✔️")</f>
        <v>16</v>
      </c>
      <c r="AN7" s="88">
        <f>COUNTIF(AN60:AN116,"✅")+COUNTIF(AN60:AN116,"✔️")</f>
        <v>19</v>
      </c>
      <c r="AO7" s="88">
        <f>COUNTIF(AO60:AO116,"✅")+COUNTIF(AO60:AO116,"✔️")</f>
        <v>14</v>
      </c>
      <c r="AP7" s="90">
        <f>COUNTIF(AP60:AP116,"✅")+COUNTIF(AP60:AP116,"✔️")</f>
        <v>14</v>
      </c>
      <c r="AQ7" s="86">
        <f>COUNTIF(AQ60:AQ116,"✅")+COUNTIF(AQ60:AQ116,"✔️")</f>
        <v>15</v>
      </c>
      <c r="AR7" s="88">
        <f>COUNTIF(AR60:AR116,"✅")+COUNTIF(AR60:AR116,"✔️")</f>
        <v>18</v>
      </c>
      <c r="AS7" s="88">
        <f>COUNTIF(AS60:AS116,"✅")+COUNTIF(AS60:AS116,"✔️")</f>
        <v>11</v>
      </c>
      <c r="AT7" s="90">
        <f>COUNTIF(AT60:AT116,"✅")+COUNTIF(AT60:AT116,"✔️")</f>
        <v>10</v>
      </c>
      <c r="AU7" s="74">
        <f>COUNTIF(AU60:AU116,"✅")+COUNTIF(AU60:AU116,"✔️")</f>
        <v>13</v>
      </c>
      <c r="AV7" s="75">
        <f>COUNTIF(AV60:AV116,"✅")+COUNTIF(AV60:AV116,"✔️")</f>
        <v>18</v>
      </c>
      <c r="AW7" s="107">
        <f>COUNTIF(AW60:AW116,"✅")+COUNTIF(AW60:AW116,"✔️")</f>
        <v>11</v>
      </c>
      <c r="AX7" s="77">
        <f>COUNTIF(AX60:AX116,"✅")+COUNTIF(AX60:AX116,"✔️")</f>
        <v>13</v>
      </c>
      <c r="AY7" s="80">
        <f>COUNTIF(AY60:AY116,"✅")+COUNTIF(AY60:AY116,"✔️")</f>
        <v>14</v>
      </c>
      <c r="AZ7" s="30">
        <f>COUNTIF(AZ60:AZ116,"✅")+COUNTIF(AZ60:AZ116,"✔️")</f>
        <v>18</v>
      </c>
      <c r="BA7" s="30">
        <f>COUNTIF(BA60:BA116,"✅")+COUNTIF(BA60:BA116,"✔️")</f>
        <v>8</v>
      </c>
      <c r="BB7" s="81">
        <f>COUNTIF(BB60:BB116,"✅")+COUNTIF(BB60:BB116,"✔️")</f>
        <v>7</v>
      </c>
      <c r="BC7" s="86">
        <f>COUNTIF(BC60:BC116,"✅")+COUNTIF(BC60:BC116,"✔️")</f>
        <v>16</v>
      </c>
      <c r="BD7" s="88">
        <f>COUNTIF(BD60:BD116,"✅")+COUNTIF(BD60:BD116,"✔️")</f>
        <v>19</v>
      </c>
      <c r="BE7" s="88">
        <f>COUNTIF(BE60:BE116,"✅")+COUNTIF(BE60:BE116,"✔️")</f>
        <v>14</v>
      </c>
      <c r="BF7" s="90">
        <f>COUNTIF(BF60:BF116,"✅")+COUNTIF(BF60:BF116,"✔️")</f>
        <v>14</v>
      </c>
      <c r="BG7" s="86">
        <f>COUNTIF(BG60:BG116,"✅")+COUNTIF(BG60:BG116,"✔️")</f>
        <v>15</v>
      </c>
      <c r="BH7" s="88">
        <f>COUNTIF(BH60:BH116,"✅")+COUNTIF(BH60:BH116,"✔️")</f>
        <v>18</v>
      </c>
      <c r="BI7" s="88">
        <f>COUNTIF(BI60:BI116,"✅")+COUNTIF(BI60:BI116,"✔️")</f>
        <v>11</v>
      </c>
      <c r="BJ7" s="90">
        <f>COUNTIF(BJ60:BJ116,"✅")+COUNTIF(BJ60:BJ116,"✔️")</f>
        <v>10</v>
      </c>
    </row>
    <row r="8" spans="1:62" x14ac:dyDescent="0.25">
      <c r="D8" s="132" t="s">
        <v>12</v>
      </c>
      <c r="E8" s="118"/>
      <c r="F8" s="120"/>
      <c r="G8" s="186">
        <f>SUM(G3:J3)</f>
        <v>9</v>
      </c>
      <c r="H8" s="187"/>
      <c r="I8" s="188"/>
      <c r="J8" s="189"/>
      <c r="K8" s="174">
        <f>SUM(K3:N3)</f>
        <v>14</v>
      </c>
      <c r="L8" s="175"/>
      <c r="M8" s="176"/>
      <c r="N8" s="177"/>
      <c r="O8" s="128">
        <f>SUM(O3:R3)</f>
        <v>14</v>
      </c>
      <c r="P8" s="129"/>
      <c r="Q8" s="130"/>
      <c r="R8" s="131"/>
      <c r="S8" s="138">
        <f>SUM(S3:V3)</f>
        <v>9</v>
      </c>
      <c r="T8" s="139"/>
      <c r="U8" s="140"/>
      <c r="V8" s="141"/>
      <c r="W8" s="134">
        <f>SUM(W6:Z6)</f>
        <v>16</v>
      </c>
      <c r="X8" s="135"/>
      <c r="Y8" s="136"/>
      <c r="Z8" s="137"/>
      <c r="AA8" s="160">
        <f>SUM(AA6:AD6)</f>
        <v>16</v>
      </c>
      <c r="AB8" s="161"/>
      <c r="AC8" s="162"/>
      <c r="AD8" s="163"/>
      <c r="AE8" s="156">
        <f>SUM(AE6:AH6)</f>
        <v>15</v>
      </c>
      <c r="AF8" s="157"/>
      <c r="AG8" s="158"/>
      <c r="AH8" s="159"/>
      <c r="AI8" s="142">
        <f>SUM(AI6:AL6)</f>
        <v>8</v>
      </c>
      <c r="AJ8" s="143"/>
      <c r="AK8" s="144"/>
      <c r="AL8" s="145"/>
      <c r="AM8" s="170">
        <f>SUM(AM6:AP6)</f>
        <v>4</v>
      </c>
      <c r="AN8" s="171"/>
      <c r="AO8" s="172"/>
      <c r="AP8" s="173"/>
      <c r="AQ8" s="170">
        <f>SUM(AQ6:AT6)</f>
        <v>0</v>
      </c>
      <c r="AR8" s="171"/>
      <c r="AS8" s="172"/>
      <c r="AT8" s="173"/>
      <c r="AU8" s="156">
        <f>SUM(AU6:AX6)</f>
        <v>0</v>
      </c>
      <c r="AV8" s="157"/>
      <c r="AW8" s="158"/>
      <c r="AX8" s="159"/>
      <c r="AY8" s="142">
        <f>SUM(AY6:BB6)</f>
        <v>0</v>
      </c>
      <c r="AZ8" s="143"/>
      <c r="BA8" s="144"/>
      <c r="BB8" s="145"/>
      <c r="BC8" s="170">
        <f>SUM(BC6:BF6)</f>
        <v>0</v>
      </c>
      <c r="BD8" s="171"/>
      <c r="BE8" s="172"/>
      <c r="BF8" s="173"/>
      <c r="BG8" s="170">
        <f>SUM(BG6:BJ6)</f>
        <v>0</v>
      </c>
      <c r="BH8" s="171"/>
      <c r="BI8" s="172"/>
      <c r="BJ8" s="173"/>
    </row>
    <row r="9" spans="1:62" ht="16.5" customHeight="1" x14ac:dyDescent="0.25">
      <c r="D9" s="147" t="s">
        <v>13</v>
      </c>
      <c r="E9" s="118"/>
      <c r="F9" s="118"/>
      <c r="G9" s="178">
        <f>SUM(G8:V8)</f>
        <v>46</v>
      </c>
      <c r="H9" s="178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97">
        <f>SUM(W8:AL8)</f>
        <v>55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  <c r="AL9" s="199"/>
      <c r="AM9" s="197">
        <f>SUM(AM8:BB8)</f>
        <v>4</v>
      </c>
      <c r="AN9" s="198"/>
      <c r="AO9" s="198"/>
      <c r="AP9" s="198"/>
      <c r="AQ9" s="198"/>
      <c r="AR9" s="198"/>
      <c r="AS9" s="198"/>
      <c r="AT9" s="198"/>
      <c r="AU9"/>
      <c r="AV9"/>
      <c r="AW9"/>
      <c r="AX9"/>
      <c r="AY9"/>
      <c r="BB9"/>
      <c r="BC9" s="197">
        <f>SUM(BC8:BR8)</f>
        <v>0</v>
      </c>
      <c r="BD9" s="198"/>
      <c r="BE9" s="198"/>
      <c r="BF9" s="198"/>
      <c r="BG9" s="198"/>
      <c r="BH9" s="198"/>
      <c r="BI9" s="198"/>
      <c r="BJ9" s="198"/>
    </row>
    <row r="10" spans="1:62" ht="16.5" customHeight="1" x14ac:dyDescent="0.25">
      <c r="D10" s="147" t="s">
        <v>14</v>
      </c>
      <c r="E10" s="118"/>
      <c r="F10" s="118"/>
      <c r="G10" s="200">
        <f>SUM(G8:AP8)</f>
        <v>105</v>
      </c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2"/>
      <c r="AQ10" s="51"/>
      <c r="AU10"/>
      <c r="AV10"/>
      <c r="AW10"/>
      <c r="AX10"/>
      <c r="AY10"/>
      <c r="BB10"/>
      <c r="BG10" s="51"/>
    </row>
    <row r="11" spans="1:62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2" ht="16.5" customHeight="1" x14ac:dyDescent="0.25">
      <c r="A12" s="96" t="s">
        <v>0</v>
      </c>
      <c r="B12" s="2" t="s">
        <v>793</v>
      </c>
      <c r="C12" s="28">
        <v>2</v>
      </c>
      <c r="D12" s="5">
        <f t="shared" ref="D12:D57" si="8">COUNTIF(G12:AAJ12,"✅")+COUNTIF(G12:AAJ12,"✔️")</f>
        <v>3</v>
      </c>
      <c r="E12" s="2" t="s">
        <v>799</v>
      </c>
      <c r="F12" s="2" t="s">
        <v>800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2" ht="16.5" customHeight="1" x14ac:dyDescent="0.25">
      <c r="A13" s="97"/>
      <c r="B13" t="s">
        <v>20</v>
      </c>
      <c r="C13" s="11">
        <v>2</v>
      </c>
      <c r="D13" s="1">
        <f t="shared" si="8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2" ht="16.5" customHeight="1" x14ac:dyDescent="0.25">
      <c r="B14" t="s">
        <v>25</v>
      </c>
      <c r="C14" s="11">
        <v>2</v>
      </c>
      <c r="D14" s="1">
        <f t="shared" si="8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2" ht="16.5" customHeight="1" x14ac:dyDescent="0.25">
      <c r="B15" t="s">
        <v>28</v>
      </c>
      <c r="C15" s="11">
        <v>2</v>
      </c>
      <c r="D15" s="1">
        <f t="shared" si="8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2" ht="16.5" customHeight="1" x14ac:dyDescent="0.25">
      <c r="B16" t="s">
        <v>31</v>
      </c>
      <c r="C16" s="11">
        <v>4</v>
      </c>
      <c r="D16" s="1">
        <f t="shared" si="8"/>
        <v>18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</row>
    <row r="17" spans="2:62" ht="16.5" customHeight="1" x14ac:dyDescent="0.25">
      <c r="B17" t="s">
        <v>34</v>
      </c>
      <c r="C17" s="11">
        <v>4</v>
      </c>
      <c r="D17" s="1">
        <f t="shared" si="8"/>
        <v>15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</row>
    <row r="18" spans="2:62" ht="16.5" customHeight="1" x14ac:dyDescent="0.25">
      <c r="B18" t="s">
        <v>43</v>
      </c>
      <c r="C18" s="11">
        <v>2</v>
      </c>
      <c r="D18" s="1">
        <f t="shared" si="8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2:62" ht="16.5" customHeight="1" x14ac:dyDescent="0.25">
      <c r="B19" t="s">
        <v>37</v>
      </c>
      <c r="C19" s="11">
        <v>3</v>
      </c>
      <c r="D19" s="1">
        <f t="shared" si="8"/>
        <v>14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</row>
    <row r="20" spans="2:62" ht="16.5" customHeight="1" x14ac:dyDescent="0.25">
      <c r="B20" t="s">
        <v>40</v>
      </c>
      <c r="C20" s="11">
        <v>2</v>
      </c>
      <c r="D20" s="1">
        <f t="shared" si="8"/>
        <v>20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</row>
    <row r="21" spans="2:62" ht="16.5" customHeight="1" x14ac:dyDescent="0.25">
      <c r="B21" s="2" t="s">
        <v>794</v>
      </c>
      <c r="C21" s="28">
        <v>4</v>
      </c>
      <c r="D21" s="5">
        <f t="shared" si="8"/>
        <v>1</v>
      </c>
      <c r="E21" s="2" t="s">
        <v>801</v>
      </c>
      <c r="F21" s="2" t="s">
        <v>802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2:62" x14ac:dyDescent="0.25">
      <c r="B22" t="s">
        <v>46</v>
      </c>
      <c r="C22" s="11">
        <v>2</v>
      </c>
      <c r="D22" s="1">
        <f t="shared" si="8"/>
        <v>20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</row>
    <row r="23" spans="2:62" x14ac:dyDescent="0.25">
      <c r="B23" t="s">
        <v>49</v>
      </c>
      <c r="C23" s="11">
        <v>2</v>
      </c>
      <c r="D23" s="1">
        <f t="shared" si="8"/>
        <v>20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</row>
    <row r="24" spans="2:62" ht="16.5" customHeight="1" x14ac:dyDescent="0.25">
      <c r="B24" t="s">
        <v>55</v>
      </c>
      <c r="C24" s="11">
        <v>4</v>
      </c>
      <c r="D24" s="1">
        <f t="shared" si="8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</row>
    <row r="25" spans="2:62" ht="16.5" customHeight="1" x14ac:dyDescent="0.25">
      <c r="B25" t="s">
        <v>58</v>
      </c>
      <c r="C25" s="11">
        <v>4</v>
      </c>
      <c r="D25" s="1">
        <f t="shared" si="8"/>
        <v>21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</row>
    <row r="26" spans="2:62" ht="16.5" customHeight="1" x14ac:dyDescent="0.25">
      <c r="B26" t="s">
        <v>52</v>
      </c>
      <c r="C26" s="11">
        <v>4</v>
      </c>
      <c r="D26" s="1">
        <f t="shared" si="8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</row>
    <row r="27" spans="2:62" ht="16.5" customHeight="1" x14ac:dyDescent="0.25">
      <c r="B27" t="s">
        <v>61</v>
      </c>
      <c r="C27" s="11">
        <v>4</v>
      </c>
      <c r="D27" s="1">
        <f t="shared" si="8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</row>
    <row r="28" spans="2:62" ht="16.5" customHeight="1" x14ac:dyDescent="0.25">
      <c r="B28" t="s">
        <v>64</v>
      </c>
      <c r="C28" s="11">
        <v>4</v>
      </c>
      <c r="D28" s="1">
        <f t="shared" si="8"/>
        <v>21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</row>
    <row r="29" spans="2:62" ht="16.5" customHeight="1" x14ac:dyDescent="0.25">
      <c r="B29" t="s">
        <v>67</v>
      </c>
      <c r="C29" s="11">
        <v>4</v>
      </c>
      <c r="D29" s="1">
        <f t="shared" si="8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2:62" ht="16.5" customHeight="1" x14ac:dyDescent="0.25">
      <c r="B30" t="s">
        <v>70</v>
      </c>
      <c r="C30" s="11">
        <v>4</v>
      </c>
      <c r="D30" s="1">
        <f t="shared" si="8"/>
        <v>14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</row>
    <row r="31" spans="2:62" ht="16.5" customHeight="1" x14ac:dyDescent="0.25">
      <c r="B31" t="s">
        <v>73</v>
      </c>
      <c r="C31" s="11">
        <v>4</v>
      </c>
      <c r="D31" s="1">
        <f t="shared" si="8"/>
        <v>14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</row>
    <row r="32" spans="2:62" ht="16.5" customHeight="1" x14ac:dyDescent="0.25">
      <c r="B32" t="s">
        <v>79</v>
      </c>
      <c r="C32" s="11">
        <v>6</v>
      </c>
      <c r="D32" s="1">
        <f t="shared" si="8"/>
        <v>20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</row>
    <row r="33" spans="2:62" ht="16.5" customHeight="1" x14ac:dyDescent="0.25">
      <c r="B33" t="s">
        <v>76</v>
      </c>
      <c r="C33" s="11">
        <v>6</v>
      </c>
      <c r="D33" s="1">
        <f t="shared" si="8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2:62" ht="16.5" customHeight="1" x14ac:dyDescent="0.25">
      <c r="B34" t="s">
        <v>82</v>
      </c>
      <c r="C34" s="11">
        <v>4</v>
      </c>
      <c r="D34" s="1">
        <f t="shared" si="8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2:62" x14ac:dyDescent="0.25">
      <c r="B35" s="2" t="s">
        <v>795</v>
      </c>
      <c r="C35" s="28">
        <v>4</v>
      </c>
      <c r="D35" s="5">
        <f t="shared" si="8"/>
        <v>4</v>
      </c>
      <c r="E35" s="2" t="s">
        <v>803</v>
      </c>
      <c r="F35" s="2" t="s">
        <v>804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2:62" x14ac:dyDescent="0.25">
      <c r="B36" t="s">
        <v>85</v>
      </c>
      <c r="C36" s="11">
        <v>2</v>
      </c>
      <c r="D36" s="1">
        <f t="shared" si="8"/>
        <v>9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</row>
    <row r="37" spans="2:62" x14ac:dyDescent="0.25">
      <c r="B37" t="s">
        <v>88</v>
      </c>
      <c r="C37" s="11">
        <v>2</v>
      </c>
      <c r="D37" s="1">
        <f t="shared" si="8"/>
        <v>9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</row>
    <row r="38" spans="2:62" ht="16.5" customHeight="1" x14ac:dyDescent="0.25">
      <c r="B38" t="s">
        <v>91</v>
      </c>
      <c r="C38" s="11">
        <v>4</v>
      </c>
      <c r="D38" s="1">
        <f t="shared" si="8"/>
        <v>21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</row>
    <row r="39" spans="2:62" x14ac:dyDescent="0.25">
      <c r="B39" t="s">
        <v>94</v>
      </c>
      <c r="C39" s="11">
        <v>4</v>
      </c>
      <c r="D39" s="1">
        <f t="shared" si="8"/>
        <v>24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</row>
    <row r="40" spans="2:62" x14ac:dyDescent="0.25">
      <c r="B40" t="s">
        <v>100</v>
      </c>
      <c r="C40" s="11">
        <v>4</v>
      </c>
      <c r="D40" s="1">
        <f t="shared" si="8"/>
        <v>15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</row>
    <row r="41" spans="2:62" x14ac:dyDescent="0.25">
      <c r="B41" t="s">
        <v>103</v>
      </c>
      <c r="C41" s="11">
        <v>4</v>
      </c>
      <c r="D41" s="1">
        <f t="shared" si="8"/>
        <v>15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</row>
    <row r="42" spans="2:62" x14ac:dyDescent="0.25">
      <c r="B42" t="s">
        <v>97</v>
      </c>
      <c r="C42" s="11">
        <v>6</v>
      </c>
      <c r="D42" s="1">
        <f t="shared" si="8"/>
        <v>15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</row>
    <row r="43" spans="2:62" x14ac:dyDescent="0.25">
      <c r="B43" t="s">
        <v>106</v>
      </c>
      <c r="C43" s="11">
        <v>6</v>
      </c>
      <c r="D43" s="1">
        <f t="shared" si="8"/>
        <v>12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</row>
    <row r="44" spans="2:62" x14ac:dyDescent="0.25">
      <c r="B44" t="s">
        <v>109</v>
      </c>
      <c r="C44" s="11">
        <v>4</v>
      </c>
      <c r="D44" s="1">
        <f t="shared" si="8"/>
        <v>15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</row>
    <row r="45" spans="2:62" x14ac:dyDescent="0.25">
      <c r="B45" t="s">
        <v>112</v>
      </c>
      <c r="C45" s="11">
        <v>6</v>
      </c>
      <c r="D45" s="1">
        <f t="shared" si="8"/>
        <v>9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</row>
    <row r="46" spans="2:62" x14ac:dyDescent="0.25">
      <c r="B46" t="s">
        <v>115</v>
      </c>
      <c r="C46" s="11">
        <v>6</v>
      </c>
      <c r="D46" s="1">
        <f t="shared" si="8"/>
        <v>9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</row>
    <row r="47" spans="2:62" x14ac:dyDescent="0.25">
      <c r="B47" t="s">
        <v>118</v>
      </c>
      <c r="C47" s="11">
        <v>4</v>
      </c>
      <c r="D47" s="1">
        <f t="shared" si="8"/>
        <v>6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</row>
    <row r="48" spans="2:62" x14ac:dyDescent="0.25">
      <c r="B48" t="s">
        <v>121</v>
      </c>
      <c r="C48" s="11">
        <v>4</v>
      </c>
      <c r="D48" s="1">
        <f t="shared" si="8"/>
        <v>6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</row>
    <row r="49" spans="1:62" x14ac:dyDescent="0.25">
      <c r="B49" s="2" t="s">
        <v>797</v>
      </c>
      <c r="C49" s="28">
        <v>4</v>
      </c>
      <c r="D49" s="5">
        <f t="shared" si="8"/>
        <v>1</v>
      </c>
      <c r="E49" s="2" t="s">
        <v>805</v>
      </c>
      <c r="F49" s="2" t="s">
        <v>806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2" x14ac:dyDescent="0.25">
      <c r="B50" t="s">
        <v>133</v>
      </c>
      <c r="C50" s="11">
        <v>6</v>
      </c>
      <c r="D50" s="1">
        <f t="shared" si="8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2" x14ac:dyDescent="0.25">
      <c r="B51" t="s">
        <v>136</v>
      </c>
      <c r="C51" s="11">
        <v>6</v>
      </c>
      <c r="D51" s="1">
        <f t="shared" si="8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</row>
    <row r="52" spans="1:62" x14ac:dyDescent="0.25">
      <c r="B52" t="s">
        <v>139</v>
      </c>
      <c r="C52" s="11">
        <v>6</v>
      </c>
      <c r="D52" s="1">
        <f t="shared" si="8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2" x14ac:dyDescent="0.25">
      <c r="B53" t="s">
        <v>142</v>
      </c>
      <c r="C53" s="11">
        <v>6</v>
      </c>
      <c r="D53" s="1">
        <f t="shared" si="8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2" x14ac:dyDescent="0.25">
      <c r="B54" t="s">
        <v>124</v>
      </c>
      <c r="C54" s="11">
        <v>6</v>
      </c>
      <c r="D54" s="1">
        <f t="shared" si="8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</row>
    <row r="55" spans="1:62" x14ac:dyDescent="0.25">
      <c r="B55" t="s">
        <v>127</v>
      </c>
      <c r="C55" s="11">
        <v>6</v>
      </c>
      <c r="D55" s="1">
        <f t="shared" si="8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</row>
    <row r="56" spans="1:62" x14ac:dyDescent="0.25">
      <c r="B56" t="s">
        <v>130</v>
      </c>
      <c r="C56" s="11">
        <v>6</v>
      </c>
      <c r="D56" s="1">
        <f t="shared" si="8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</row>
    <row r="57" spans="1:62" x14ac:dyDescent="0.25">
      <c r="B57" t="s">
        <v>145</v>
      </c>
      <c r="C57" s="11">
        <v>6</v>
      </c>
      <c r="D57" s="1">
        <f t="shared" si="8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</row>
    <row r="58" spans="1:62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</row>
    <row r="59" spans="1:62" ht="15" customHeight="1" x14ac:dyDescent="0.25">
      <c r="A59" s="114" t="s">
        <v>148</v>
      </c>
      <c r="B59" s="2" t="s">
        <v>798</v>
      </c>
      <c r="C59" s="28">
        <v>4</v>
      </c>
      <c r="D59" s="5">
        <f t="shared" ref="D59:D106" si="9">COUNTIF(G59:AAJ59,"✅")+COUNTIF(G59:AAJ59,"✔️")</f>
        <v>1</v>
      </c>
      <c r="E59" s="2" t="s">
        <v>807</v>
      </c>
      <c r="F59" s="2" t="s">
        <v>808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2" x14ac:dyDescent="0.25">
      <c r="A60" s="114"/>
      <c r="B60" t="s">
        <v>149</v>
      </c>
      <c r="C60" s="11">
        <v>1</v>
      </c>
      <c r="D60" s="1">
        <f t="shared" si="9"/>
        <v>20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</row>
    <row r="61" spans="1:62" x14ac:dyDescent="0.25">
      <c r="A61" s="114"/>
      <c r="B61" t="s">
        <v>152</v>
      </c>
      <c r="C61" s="11">
        <v>1</v>
      </c>
      <c r="D61" s="1">
        <f t="shared" si="9"/>
        <v>20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</row>
    <row r="62" spans="1:62" x14ac:dyDescent="0.25">
      <c r="A62" s="114"/>
      <c r="B62" t="s">
        <v>155</v>
      </c>
      <c r="C62" s="11">
        <v>1</v>
      </c>
      <c r="D62" s="1">
        <f t="shared" si="9"/>
        <v>20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</row>
    <row r="63" spans="1:62" x14ac:dyDescent="0.25">
      <c r="A63" s="114"/>
      <c r="B63" t="s">
        <v>158</v>
      </c>
      <c r="C63" s="11">
        <v>1</v>
      </c>
      <c r="D63" s="1">
        <f t="shared" si="9"/>
        <v>20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</row>
    <row r="64" spans="1:62" x14ac:dyDescent="0.25">
      <c r="A64" s="114"/>
      <c r="B64" t="s">
        <v>161</v>
      </c>
      <c r="C64" s="11">
        <v>1</v>
      </c>
      <c r="D64" s="1">
        <f t="shared" si="9"/>
        <v>20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</row>
    <row r="65" spans="1:62" x14ac:dyDescent="0.25">
      <c r="A65" s="114"/>
      <c r="B65" t="s">
        <v>164</v>
      </c>
      <c r="C65" s="11">
        <v>1</v>
      </c>
      <c r="D65" s="1">
        <f t="shared" si="9"/>
        <v>20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</row>
    <row r="66" spans="1:62" x14ac:dyDescent="0.25">
      <c r="A66" s="114"/>
      <c r="B66" t="s">
        <v>176</v>
      </c>
      <c r="C66" s="11">
        <v>4</v>
      </c>
      <c r="D66" s="1">
        <f t="shared" si="9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</row>
    <row r="67" spans="1:62" x14ac:dyDescent="0.25">
      <c r="A67" s="114"/>
      <c r="B67" t="s">
        <v>173</v>
      </c>
      <c r="C67" s="11">
        <v>4</v>
      </c>
      <c r="D67" s="1">
        <f t="shared" si="9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30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</row>
    <row r="68" spans="1:62" x14ac:dyDescent="0.25">
      <c r="A68" s="114"/>
      <c r="B68" t="s">
        <v>200</v>
      </c>
      <c r="C68" s="11">
        <v>6</v>
      </c>
      <c r="D68" s="1">
        <f t="shared" si="9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</row>
    <row r="69" spans="1:62" x14ac:dyDescent="0.25">
      <c r="A69" s="114"/>
      <c r="B69" t="s">
        <v>221</v>
      </c>
      <c r="C69" s="11">
        <v>6</v>
      </c>
      <c r="D69" s="1">
        <f t="shared" si="9"/>
        <v>7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</row>
    <row r="70" spans="1:62" x14ac:dyDescent="0.25">
      <c r="A70" s="114"/>
      <c r="B70" t="s">
        <v>167</v>
      </c>
      <c r="C70" s="11">
        <v>1</v>
      </c>
      <c r="D70" s="1">
        <f t="shared" si="9"/>
        <v>19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</row>
    <row r="71" spans="1:62" x14ac:dyDescent="0.25">
      <c r="A71" s="114"/>
      <c r="B71" t="s">
        <v>257</v>
      </c>
      <c r="C71" s="11">
        <v>6</v>
      </c>
      <c r="D71" s="1">
        <f t="shared" si="9"/>
        <v>14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</row>
    <row r="72" spans="1:62" x14ac:dyDescent="0.25">
      <c r="A72" s="114"/>
      <c r="B72" t="s">
        <v>260</v>
      </c>
      <c r="C72" s="11">
        <v>6</v>
      </c>
      <c r="D72" s="1">
        <f t="shared" si="9"/>
        <v>14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</row>
    <row r="73" spans="1:62" x14ac:dyDescent="0.25">
      <c r="A73" s="114"/>
      <c r="B73" t="s">
        <v>266</v>
      </c>
      <c r="C73" s="11">
        <v>6</v>
      </c>
      <c r="D73" s="1">
        <f t="shared" si="9"/>
        <v>14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</row>
    <row r="74" spans="1:62" x14ac:dyDescent="0.25">
      <c r="A74" s="114"/>
      <c r="B74" t="s">
        <v>263</v>
      </c>
      <c r="C74" s="11">
        <v>6</v>
      </c>
      <c r="D74" s="1">
        <f t="shared" si="9"/>
        <v>5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</row>
    <row r="75" spans="1:62" x14ac:dyDescent="0.25">
      <c r="A75" s="114"/>
      <c r="B75" t="s">
        <v>269</v>
      </c>
      <c r="C75" s="11">
        <v>6</v>
      </c>
      <c r="D75" s="1">
        <f t="shared" si="9"/>
        <v>5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</row>
    <row r="76" spans="1:62" x14ac:dyDescent="0.25">
      <c r="A76" s="114"/>
      <c r="B76" s="2" t="s">
        <v>811</v>
      </c>
      <c r="C76" s="28">
        <v>4</v>
      </c>
      <c r="D76" s="5">
        <f t="shared" si="9"/>
        <v>4</v>
      </c>
      <c r="E76" s="2" t="s">
        <v>812</v>
      </c>
      <c r="F76" s="2" t="s">
        <v>813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</row>
    <row r="77" spans="1:62" x14ac:dyDescent="0.25">
      <c r="A77" s="114"/>
      <c r="B77" t="s">
        <v>239</v>
      </c>
      <c r="C77" s="11">
        <v>4</v>
      </c>
      <c r="D77" s="1">
        <f t="shared" si="9"/>
        <v>6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</row>
    <row r="78" spans="1:62" x14ac:dyDescent="0.25">
      <c r="A78" s="114"/>
      <c r="B78" t="s">
        <v>242</v>
      </c>
      <c r="C78" s="11">
        <v>4</v>
      </c>
      <c r="D78" s="1">
        <f t="shared" si="9"/>
        <v>6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</row>
    <row r="79" spans="1:62" x14ac:dyDescent="0.25">
      <c r="A79" s="114"/>
      <c r="B79" t="s">
        <v>185</v>
      </c>
      <c r="C79" s="11">
        <v>6</v>
      </c>
      <c r="D79" s="1">
        <f t="shared" si="9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30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</row>
    <row r="80" spans="1:62" x14ac:dyDescent="0.25">
      <c r="A80" s="114"/>
      <c r="B80" t="s">
        <v>233</v>
      </c>
      <c r="C80" s="11">
        <v>4</v>
      </c>
      <c r="D80" s="1">
        <f t="shared" si="9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</row>
    <row r="81" spans="1:62" x14ac:dyDescent="0.25">
      <c r="A81" s="114"/>
      <c r="B81" t="s">
        <v>251</v>
      </c>
      <c r="C81" s="11">
        <v>4</v>
      </c>
      <c r="D81" s="1">
        <f t="shared" si="9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</row>
    <row r="82" spans="1:62" x14ac:dyDescent="0.25">
      <c r="A82" s="114"/>
      <c r="B82" t="s">
        <v>254</v>
      </c>
      <c r="C82" s="11">
        <v>6</v>
      </c>
      <c r="D82" s="1">
        <f t="shared" si="9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</row>
    <row r="83" spans="1:62" x14ac:dyDescent="0.25">
      <c r="A83" s="114"/>
      <c r="B83" t="s">
        <v>248</v>
      </c>
      <c r="C83" s="11">
        <v>4</v>
      </c>
      <c r="D83" s="1">
        <f t="shared" si="9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</row>
    <row r="84" spans="1:62" x14ac:dyDescent="0.25">
      <c r="A84" s="114"/>
      <c r="B84" t="s">
        <v>197</v>
      </c>
      <c r="C84" s="11">
        <v>6</v>
      </c>
      <c r="D84" s="1">
        <f t="shared" si="9"/>
        <v>10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</row>
    <row r="85" spans="1:62" x14ac:dyDescent="0.25">
      <c r="A85" s="114"/>
      <c r="B85" t="s">
        <v>215</v>
      </c>
      <c r="C85" s="11">
        <v>6</v>
      </c>
      <c r="D85" s="1">
        <f t="shared" si="9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30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</row>
    <row r="86" spans="1:62" x14ac:dyDescent="0.25">
      <c r="A86" s="114"/>
      <c r="B86" t="s">
        <v>218</v>
      </c>
      <c r="C86" s="11">
        <v>6</v>
      </c>
      <c r="D86" s="1">
        <f t="shared" si="9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30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</row>
    <row r="87" spans="1:62" x14ac:dyDescent="0.25">
      <c r="A87" s="114"/>
      <c r="B87" t="s">
        <v>274</v>
      </c>
      <c r="C87" s="11">
        <v>6</v>
      </c>
      <c r="D87" s="1">
        <f t="shared" si="9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</row>
    <row r="88" spans="1:62" x14ac:dyDescent="0.25">
      <c r="A88" s="114"/>
      <c r="B88" s="2" t="s">
        <v>816</v>
      </c>
      <c r="C88" s="28">
        <v>4</v>
      </c>
      <c r="D88" s="5">
        <f t="shared" si="9"/>
        <v>8</v>
      </c>
      <c r="E88" s="2" t="s">
        <v>812</v>
      </c>
      <c r="F88" s="2" t="s">
        <v>813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104" t="s">
        <v>24</v>
      </c>
      <c r="AV88" s="115" t="s">
        <v>24</v>
      </c>
      <c r="AW88" s="115" t="s">
        <v>24</v>
      </c>
      <c r="AX88" s="115" t="s">
        <v>24</v>
      </c>
      <c r="AY88" s="62"/>
      <c r="AZ88" s="31"/>
      <c r="BA88" s="31"/>
      <c r="BC88" s="51"/>
      <c r="BG88" s="62"/>
      <c r="BH88" s="31"/>
      <c r="BI88" s="31"/>
      <c r="BJ88" s="52"/>
    </row>
    <row r="89" spans="1:62" x14ac:dyDescent="0.25">
      <c r="A89" s="114"/>
      <c r="B89" t="s">
        <v>224</v>
      </c>
      <c r="C89" s="11">
        <v>6</v>
      </c>
      <c r="D89" s="1">
        <f t="shared" si="9"/>
        <v>10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</row>
    <row r="90" spans="1:62" x14ac:dyDescent="0.25">
      <c r="A90" s="114"/>
      <c r="B90" t="s">
        <v>230</v>
      </c>
      <c r="C90" s="11">
        <v>4</v>
      </c>
      <c r="D90" s="1">
        <f t="shared" si="9"/>
        <v>10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30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</row>
    <row r="91" spans="1:62" x14ac:dyDescent="0.25">
      <c r="A91" s="114"/>
      <c r="B91" t="s">
        <v>188</v>
      </c>
      <c r="C91" s="11">
        <v>4</v>
      </c>
      <c r="D91" s="1">
        <f t="shared" si="9"/>
        <v>10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</row>
    <row r="92" spans="1:62" x14ac:dyDescent="0.25">
      <c r="A92" s="114"/>
      <c r="B92" t="s">
        <v>179</v>
      </c>
      <c r="C92" s="11">
        <v>6</v>
      </c>
      <c r="D92" s="1">
        <f>COUNTIF(G92:AAJ92,"✅")+COUNTIF(G92:AAJ92,"✔️")</f>
        <v>8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</row>
    <row r="93" spans="1:62" x14ac:dyDescent="0.25">
      <c r="A93" s="114"/>
      <c r="B93" t="s">
        <v>191</v>
      </c>
      <c r="C93" s="11">
        <v>4</v>
      </c>
      <c r="D93" s="1">
        <f t="shared" si="9"/>
        <v>14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30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</row>
    <row r="94" spans="1:62" x14ac:dyDescent="0.25">
      <c r="A94" s="114"/>
      <c r="B94" t="s">
        <v>203</v>
      </c>
      <c r="C94" s="11">
        <v>6</v>
      </c>
      <c r="D94" s="1">
        <f t="shared" si="9"/>
        <v>12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</row>
    <row r="95" spans="1:62" x14ac:dyDescent="0.25">
      <c r="A95" s="114"/>
      <c r="B95" t="s">
        <v>277</v>
      </c>
      <c r="C95" s="11">
        <v>6</v>
      </c>
      <c r="D95" s="1">
        <f t="shared" si="9"/>
        <v>8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</row>
    <row r="96" spans="1:62" x14ac:dyDescent="0.25">
      <c r="A96" s="114"/>
      <c r="B96" t="s">
        <v>245</v>
      </c>
      <c r="C96" s="11">
        <v>6</v>
      </c>
      <c r="D96" s="1">
        <f t="shared" si="9"/>
        <v>14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</row>
    <row r="97" spans="1:62" x14ac:dyDescent="0.25">
      <c r="A97" s="114"/>
      <c r="B97" t="s">
        <v>206</v>
      </c>
      <c r="C97" s="11">
        <v>6</v>
      </c>
      <c r="D97" s="1">
        <f t="shared" si="9"/>
        <v>10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</row>
    <row r="98" spans="1:62" x14ac:dyDescent="0.25">
      <c r="A98" s="114"/>
      <c r="B98" t="s">
        <v>209</v>
      </c>
      <c r="C98" s="11">
        <v>6</v>
      </c>
      <c r="D98" s="1">
        <f t="shared" si="9"/>
        <v>10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</row>
    <row r="99" spans="1:62" x14ac:dyDescent="0.25">
      <c r="A99" s="114"/>
      <c r="B99" t="s">
        <v>212</v>
      </c>
      <c r="C99" s="11">
        <v>6</v>
      </c>
      <c r="D99" s="1">
        <f t="shared" si="9"/>
        <v>6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</row>
    <row r="100" spans="1:62" x14ac:dyDescent="0.25">
      <c r="A100" s="114"/>
      <c r="B100" s="2" t="s">
        <v>817</v>
      </c>
      <c r="C100" s="28">
        <v>4</v>
      </c>
      <c r="D100" s="5">
        <f t="shared" si="9"/>
        <v>8</v>
      </c>
      <c r="E100" s="2" t="s">
        <v>815</v>
      </c>
      <c r="F100" s="2" t="s">
        <v>814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104" t="s">
        <v>24</v>
      </c>
      <c r="AZ100" s="115" t="s">
        <v>24</v>
      </c>
      <c r="BA100" s="115" t="s">
        <v>24</v>
      </c>
      <c r="BB100" s="115" t="s">
        <v>24</v>
      </c>
      <c r="BC100" s="51"/>
      <c r="BD100" s="31"/>
      <c r="BE100" s="31"/>
      <c r="BF100" s="31"/>
      <c r="BG100" s="62"/>
      <c r="BH100" s="31"/>
      <c r="BI100" s="31"/>
      <c r="BJ100" s="52"/>
    </row>
    <row r="101" spans="1:62" x14ac:dyDescent="0.25">
      <c r="A101" s="114"/>
      <c r="B101" t="s">
        <v>182</v>
      </c>
      <c r="C101" s="11">
        <v>6</v>
      </c>
      <c r="D101" s="1">
        <f>COUNTIF(G101:AAJ101,"✅")+COUNTIF(G101:AAJ101,"✔️")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</row>
    <row r="102" spans="1:62" x14ac:dyDescent="0.25">
      <c r="A102" s="114"/>
      <c r="B102" t="s">
        <v>227</v>
      </c>
      <c r="C102" s="11">
        <v>6</v>
      </c>
      <c r="D102" s="1">
        <f t="shared" si="9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</row>
    <row r="103" spans="1:62" x14ac:dyDescent="0.25">
      <c r="A103" s="114"/>
      <c r="B103" t="s">
        <v>170</v>
      </c>
      <c r="C103" s="11">
        <v>6</v>
      </c>
      <c r="D103" s="1">
        <f t="shared" si="9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</row>
    <row r="104" spans="1:62" x14ac:dyDescent="0.25">
      <c r="A104" s="114"/>
      <c r="B104" t="s">
        <v>236</v>
      </c>
      <c r="C104" s="11">
        <v>4</v>
      </c>
      <c r="D104" s="1">
        <f t="shared" si="9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30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</row>
    <row r="105" spans="1:62" x14ac:dyDescent="0.25">
      <c r="A105" s="114"/>
      <c r="B105" t="s">
        <v>272</v>
      </c>
      <c r="C105" s="11">
        <v>6</v>
      </c>
      <c r="D105" s="1">
        <f t="shared" si="9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30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</row>
    <row r="106" spans="1:62" x14ac:dyDescent="0.25">
      <c r="A106" s="114"/>
      <c r="B106" t="s">
        <v>194</v>
      </c>
      <c r="C106" s="11">
        <v>6</v>
      </c>
      <c r="D106" s="1">
        <f t="shared" si="9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30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</row>
    <row r="107" spans="1:62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</row>
    <row r="108" spans="1:62" x14ac:dyDescent="0.25">
      <c r="A108" s="164" t="s">
        <v>775</v>
      </c>
      <c r="B108" t="s">
        <v>281</v>
      </c>
      <c r="C108" s="11">
        <v>6</v>
      </c>
      <c r="D108" s="1">
        <f t="shared" ref="D108:D115" si="10">COUNTIF(G108:AAJ108,"✅")+COUNTIF(G108:AAJ108,"✔️")</f>
        <v>8</v>
      </c>
      <c r="E108" t="s">
        <v>282</v>
      </c>
      <c r="F108" t="s">
        <v>283</v>
      </c>
      <c r="AA108" s="95" t="s">
        <v>23</v>
      </c>
      <c r="AB108" s="102" t="s">
        <v>24</v>
      </c>
      <c r="AC108" s="99" t="s">
        <v>24</v>
      </c>
      <c r="AD108" s="53" t="s">
        <v>24</v>
      </c>
      <c r="AE108" s="76" t="s">
        <v>24</v>
      </c>
      <c r="AF108" s="75" t="s">
        <v>24</v>
      </c>
      <c r="AG108" s="107" t="s">
        <v>24</v>
      </c>
      <c r="AH108" s="77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</row>
    <row r="109" spans="1:62" x14ac:dyDescent="0.25">
      <c r="A109" s="164"/>
      <c r="B109" t="s">
        <v>284</v>
      </c>
      <c r="C109" s="11">
        <v>6</v>
      </c>
      <c r="D109" s="1">
        <f t="shared" si="10"/>
        <v>4</v>
      </c>
      <c r="E109" t="s">
        <v>285</v>
      </c>
      <c r="F109" t="s">
        <v>286</v>
      </c>
      <c r="AC109" s="99" t="s">
        <v>23</v>
      </c>
      <c r="AD109" s="53" t="s">
        <v>24</v>
      </c>
      <c r="AI109" s="80" t="s">
        <v>24</v>
      </c>
      <c r="AJ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</row>
    <row r="110" spans="1:62" x14ac:dyDescent="0.25">
      <c r="A110" s="164"/>
      <c r="B110" t="s">
        <v>287</v>
      </c>
      <c r="C110" s="11">
        <v>6</v>
      </c>
      <c r="D110" s="1">
        <f t="shared" si="10"/>
        <v>4</v>
      </c>
      <c r="E110" t="s">
        <v>288</v>
      </c>
      <c r="F110" t="s">
        <v>289</v>
      </c>
      <c r="AG110" s="107" t="s">
        <v>23</v>
      </c>
      <c r="AH110" s="77" t="s">
        <v>24</v>
      </c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</row>
    <row r="111" spans="1:62" x14ac:dyDescent="0.25">
      <c r="A111" s="164"/>
      <c r="B111" t="s">
        <v>290</v>
      </c>
      <c r="C111" s="11">
        <v>6</v>
      </c>
      <c r="D111" s="1">
        <f t="shared" si="10"/>
        <v>4</v>
      </c>
      <c r="E111" t="s">
        <v>291</v>
      </c>
      <c r="F111" t="s">
        <v>292</v>
      </c>
      <c r="AE111" s="76" t="s">
        <v>23</v>
      </c>
      <c r="AF111" s="75" t="s">
        <v>24</v>
      </c>
      <c r="AI111" s="80" t="s">
        <v>24</v>
      </c>
      <c r="AJ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</row>
    <row r="112" spans="1:62" x14ac:dyDescent="0.25">
      <c r="A112" s="164"/>
      <c r="B112" t="s">
        <v>293</v>
      </c>
      <c r="C112" s="11">
        <v>6</v>
      </c>
      <c r="D112" s="1">
        <f t="shared" si="10"/>
        <v>4</v>
      </c>
      <c r="E112" t="s">
        <v>294</v>
      </c>
      <c r="F112" t="s">
        <v>295</v>
      </c>
      <c r="AC112" s="99" t="s">
        <v>23</v>
      </c>
      <c r="AD112" s="53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</row>
    <row r="113" spans="1:61" x14ac:dyDescent="0.25">
      <c r="A113" s="164"/>
      <c r="B113" t="s">
        <v>296</v>
      </c>
      <c r="C113" s="11">
        <v>6</v>
      </c>
      <c r="D113" s="1">
        <f t="shared" si="10"/>
        <v>4</v>
      </c>
      <c r="E113" t="s">
        <v>297</v>
      </c>
      <c r="F113" t="s">
        <v>298</v>
      </c>
      <c r="AG113" s="30" t="s">
        <v>23</v>
      </c>
      <c r="AH113" s="81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</row>
    <row r="114" spans="1:61" x14ac:dyDescent="0.25">
      <c r="A114" s="164"/>
      <c r="B114" t="s">
        <v>299</v>
      </c>
      <c r="C114" s="11">
        <v>6</v>
      </c>
      <c r="D114" s="1">
        <f t="shared" si="10"/>
        <v>5</v>
      </c>
      <c r="E114" t="s">
        <v>300</v>
      </c>
      <c r="F114" t="s">
        <v>301</v>
      </c>
      <c r="AA114" s="80" t="s">
        <v>23</v>
      </c>
      <c r="AB114" s="102" t="s">
        <v>24</v>
      </c>
      <c r="AJ114" s="30" t="s">
        <v>24</v>
      </c>
      <c r="AK114" s="30" t="s">
        <v>24</v>
      </c>
      <c r="AL114" s="81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</row>
    <row r="115" spans="1:61" x14ac:dyDescent="0.25">
      <c r="A115" s="164"/>
      <c r="B115" t="s">
        <v>302</v>
      </c>
      <c r="C115" s="11">
        <v>6</v>
      </c>
      <c r="D115" s="1">
        <f t="shared" si="10"/>
        <v>2</v>
      </c>
      <c r="E115" t="s">
        <v>303</v>
      </c>
      <c r="F115" t="s">
        <v>304</v>
      </c>
      <c r="AK115" s="30" t="s">
        <v>23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</row>
    <row r="116" spans="1:61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</row>
    <row r="117" spans="1:61" x14ac:dyDescent="0.25">
      <c r="A117" s="165" t="s">
        <v>280</v>
      </c>
      <c r="B117" t="s">
        <v>776</v>
      </c>
      <c r="D117" s="1">
        <f t="shared" ref="D117:D133" si="11">COUNTIF(G117:AAJ117,"✅")+COUNTIF(G117:AAJ117,"✔️")</f>
        <v>18</v>
      </c>
      <c r="E117" t="s">
        <v>306</v>
      </c>
      <c r="F117" t="s">
        <v>307</v>
      </c>
      <c r="AM117" s="30" t="s">
        <v>23</v>
      </c>
      <c r="AN117" s="30" t="s">
        <v>24</v>
      </c>
      <c r="AO117" s="30" t="s">
        <v>24</v>
      </c>
      <c r="AQ117" s="30" t="s">
        <v>24</v>
      </c>
      <c r="AR117" s="30" t="s">
        <v>24</v>
      </c>
      <c r="AS117" s="30" t="s">
        <v>24</v>
      </c>
      <c r="AU117" s="30" t="s">
        <v>24</v>
      </c>
      <c r="AV117" s="30" t="s">
        <v>24</v>
      </c>
      <c r="AW117" s="30" t="s">
        <v>24</v>
      </c>
      <c r="AY117" s="30" t="s">
        <v>24</v>
      </c>
      <c r="AZ117" s="30" t="s">
        <v>24</v>
      </c>
      <c r="BA117" s="30" t="s">
        <v>24</v>
      </c>
      <c r="BC117" s="30" t="s">
        <v>24</v>
      </c>
      <c r="BD117" s="30" t="s">
        <v>24</v>
      </c>
      <c r="BE117" s="30" t="s">
        <v>24</v>
      </c>
      <c r="BG117" s="30" t="s">
        <v>24</v>
      </c>
      <c r="BH117" s="30" t="s">
        <v>24</v>
      </c>
      <c r="BI117" s="30" t="s">
        <v>24</v>
      </c>
    </row>
    <row r="118" spans="1:61" x14ac:dyDescent="0.25">
      <c r="A118" s="165"/>
      <c r="B118" t="s">
        <v>777</v>
      </c>
      <c r="D118" s="1">
        <f t="shared" si="11"/>
        <v>18</v>
      </c>
      <c r="E118" t="s">
        <v>309</v>
      </c>
      <c r="F118" t="s">
        <v>310</v>
      </c>
      <c r="AM118" s="30" t="s">
        <v>23</v>
      </c>
      <c r="AN118" s="30" t="s">
        <v>24</v>
      </c>
      <c r="AO118" s="30" t="s">
        <v>24</v>
      </c>
      <c r="AQ118" s="30" t="s">
        <v>24</v>
      </c>
      <c r="AR118" s="30" t="s">
        <v>24</v>
      </c>
      <c r="AS118" s="30" t="s">
        <v>24</v>
      </c>
      <c r="AU118" s="30" t="s">
        <v>24</v>
      </c>
      <c r="AV118" s="30" t="s">
        <v>24</v>
      </c>
      <c r="AW118" s="30" t="s">
        <v>24</v>
      </c>
      <c r="AY118" s="30" t="s">
        <v>24</v>
      </c>
      <c r="AZ118" s="30" t="s">
        <v>24</v>
      </c>
      <c r="BA118" s="30" t="s">
        <v>24</v>
      </c>
      <c r="BC118" s="30" t="s">
        <v>24</v>
      </c>
      <c r="BD118" s="30" t="s">
        <v>24</v>
      </c>
      <c r="BE118" s="30" t="s">
        <v>24</v>
      </c>
      <c r="BG118" s="30" t="s">
        <v>24</v>
      </c>
      <c r="BH118" s="30" t="s">
        <v>24</v>
      </c>
      <c r="BI118" s="30" t="s">
        <v>24</v>
      </c>
    </row>
    <row r="119" spans="1:61" x14ac:dyDescent="0.25">
      <c r="A119" s="165"/>
      <c r="B119" t="s">
        <v>778</v>
      </c>
      <c r="D119" s="1">
        <f t="shared" si="11"/>
        <v>18</v>
      </c>
      <c r="E119" t="s">
        <v>312</v>
      </c>
      <c r="F119" t="s">
        <v>313</v>
      </c>
      <c r="AM119" s="30" t="s">
        <v>23</v>
      </c>
      <c r="AN119" s="30" t="s">
        <v>24</v>
      </c>
      <c r="AO119" s="30" t="s">
        <v>24</v>
      </c>
      <c r="AQ119" s="30" t="s">
        <v>24</v>
      </c>
      <c r="AR119" s="30" t="s">
        <v>24</v>
      </c>
      <c r="AS119" s="30" t="s">
        <v>24</v>
      </c>
      <c r="AU119" s="30" t="s">
        <v>24</v>
      </c>
      <c r="AV119" s="30" t="s">
        <v>24</v>
      </c>
      <c r="AW119" s="30" t="s">
        <v>24</v>
      </c>
      <c r="AY119" s="30" t="s">
        <v>24</v>
      </c>
      <c r="AZ119" s="30" t="s">
        <v>24</v>
      </c>
      <c r="BA119" s="30" t="s">
        <v>24</v>
      </c>
      <c r="BC119" s="30" t="s">
        <v>24</v>
      </c>
      <c r="BD119" s="30" t="s">
        <v>24</v>
      </c>
      <c r="BE119" s="30" t="s">
        <v>24</v>
      </c>
      <c r="BG119" s="30" t="s">
        <v>24</v>
      </c>
      <c r="BH119" s="30" t="s">
        <v>24</v>
      </c>
      <c r="BI119" s="30" t="s">
        <v>24</v>
      </c>
    </row>
    <row r="120" spans="1:61" x14ac:dyDescent="0.25">
      <c r="A120" s="165"/>
      <c r="B120" t="s">
        <v>779</v>
      </c>
      <c r="D120" s="1">
        <f t="shared" si="11"/>
        <v>18</v>
      </c>
      <c r="E120" t="s">
        <v>315</v>
      </c>
      <c r="F120" t="s">
        <v>316</v>
      </c>
      <c r="AM120" s="30" t="s">
        <v>23</v>
      </c>
      <c r="AN120" s="30" t="s">
        <v>24</v>
      </c>
      <c r="AO120" s="30" t="s">
        <v>24</v>
      </c>
      <c r="AQ120" s="30" t="s">
        <v>24</v>
      </c>
      <c r="AR120" s="30" t="s">
        <v>24</v>
      </c>
      <c r="AS120" s="30" t="s">
        <v>24</v>
      </c>
      <c r="AU120" s="30" t="s">
        <v>24</v>
      </c>
      <c r="AV120" s="30" t="s">
        <v>24</v>
      </c>
      <c r="AW120" s="30" t="s">
        <v>24</v>
      </c>
      <c r="AY120" s="30" t="s">
        <v>24</v>
      </c>
      <c r="AZ120" s="30" t="s">
        <v>24</v>
      </c>
      <c r="BA120" s="30" t="s">
        <v>24</v>
      </c>
      <c r="BC120" s="30" t="s">
        <v>24</v>
      </c>
      <c r="BD120" s="30" t="s">
        <v>24</v>
      </c>
      <c r="BE120" s="30" t="s">
        <v>24</v>
      </c>
      <c r="BG120" s="30" t="s">
        <v>24</v>
      </c>
      <c r="BH120" s="30" t="s">
        <v>24</v>
      </c>
      <c r="BI120" s="30" t="s">
        <v>24</v>
      </c>
    </row>
    <row r="121" spans="1:61" x14ac:dyDescent="0.25">
      <c r="A121" s="165"/>
      <c r="B121" t="s">
        <v>780</v>
      </c>
      <c r="D121" s="1">
        <f t="shared" si="11"/>
        <v>18</v>
      </c>
      <c r="E121" t="s">
        <v>318</v>
      </c>
      <c r="F121" t="s">
        <v>319</v>
      </c>
      <c r="AM121" s="30" t="s">
        <v>23</v>
      </c>
      <c r="AN121" s="30" t="s">
        <v>24</v>
      </c>
      <c r="AO121" s="30" t="s">
        <v>24</v>
      </c>
      <c r="AQ121" s="30" t="s">
        <v>24</v>
      </c>
      <c r="AR121" s="30" t="s">
        <v>24</v>
      </c>
      <c r="AS121" s="30" t="s">
        <v>24</v>
      </c>
      <c r="AU121" s="30" t="s">
        <v>24</v>
      </c>
      <c r="AV121" s="30" t="s">
        <v>24</v>
      </c>
      <c r="AW121" s="30" t="s">
        <v>24</v>
      </c>
      <c r="AY121" s="30" t="s">
        <v>24</v>
      </c>
      <c r="AZ121" s="30" t="s">
        <v>24</v>
      </c>
      <c r="BA121" s="30" t="s">
        <v>24</v>
      </c>
      <c r="BC121" s="30" t="s">
        <v>24</v>
      </c>
      <c r="BD121" s="30" t="s">
        <v>24</v>
      </c>
      <c r="BE121" s="30" t="s">
        <v>24</v>
      </c>
      <c r="BG121" s="30" t="s">
        <v>24</v>
      </c>
      <c r="BH121" s="30" t="s">
        <v>24</v>
      </c>
      <c r="BI121" s="30" t="s">
        <v>24</v>
      </c>
    </row>
    <row r="122" spans="1:61" x14ac:dyDescent="0.25">
      <c r="A122" s="165"/>
      <c r="B122" t="s">
        <v>781</v>
      </c>
      <c r="D122" s="1">
        <f t="shared" si="11"/>
        <v>18</v>
      </c>
      <c r="E122" t="s">
        <v>321</v>
      </c>
      <c r="F122" t="s">
        <v>322</v>
      </c>
      <c r="G122" s="51"/>
      <c r="H122"/>
      <c r="I122"/>
      <c r="J122"/>
      <c r="K122" s="51"/>
      <c r="L122"/>
      <c r="M122"/>
      <c r="N122"/>
      <c r="O122" s="51"/>
      <c r="P122"/>
      <c r="Q122"/>
      <c r="R122"/>
      <c r="S122" s="51"/>
      <c r="T122"/>
      <c r="U122"/>
      <c r="V122"/>
      <c r="W122" s="51"/>
      <c r="X122"/>
      <c r="Y122"/>
      <c r="Z122"/>
      <c r="AA122" s="51"/>
      <c r="AB122"/>
      <c r="AC122"/>
      <c r="AD122"/>
      <c r="AE122" s="51"/>
      <c r="AF122"/>
      <c r="AG122"/>
      <c r="AH122"/>
      <c r="AM122" s="30" t="s">
        <v>23</v>
      </c>
      <c r="AN122" s="30" t="s">
        <v>24</v>
      </c>
      <c r="AO122" s="30" t="s">
        <v>24</v>
      </c>
      <c r="AQ122" s="30" t="s">
        <v>24</v>
      </c>
      <c r="AR122" s="30" t="s">
        <v>24</v>
      </c>
      <c r="AS122" s="30" t="s">
        <v>24</v>
      </c>
      <c r="AU122" s="30" t="s">
        <v>24</v>
      </c>
      <c r="AV122" s="30" t="s">
        <v>24</v>
      </c>
      <c r="AW122" s="30" t="s">
        <v>24</v>
      </c>
      <c r="AX122"/>
      <c r="AY122" s="30" t="s">
        <v>24</v>
      </c>
      <c r="AZ122" s="30" t="s">
        <v>24</v>
      </c>
      <c r="BA122" s="30" t="s">
        <v>24</v>
      </c>
      <c r="BC122" s="30" t="s">
        <v>24</v>
      </c>
      <c r="BD122" s="30" t="s">
        <v>24</v>
      </c>
      <c r="BE122" s="30" t="s">
        <v>24</v>
      </c>
      <c r="BG122" s="30" t="s">
        <v>24</v>
      </c>
      <c r="BH122" s="30" t="s">
        <v>24</v>
      </c>
      <c r="BI122" s="30" t="s">
        <v>24</v>
      </c>
    </row>
    <row r="123" spans="1:61" x14ac:dyDescent="0.25">
      <c r="A123" s="165"/>
      <c r="B123" t="s">
        <v>782</v>
      </c>
      <c r="D123" s="1">
        <f t="shared" si="11"/>
        <v>18</v>
      </c>
      <c r="E123" t="s">
        <v>324</v>
      </c>
      <c r="F123" t="s">
        <v>325</v>
      </c>
      <c r="G123" s="51"/>
      <c r="H123"/>
      <c r="I123"/>
      <c r="J123"/>
      <c r="K123" s="51"/>
      <c r="L123"/>
      <c r="M123"/>
      <c r="N123"/>
      <c r="O123" s="51"/>
      <c r="P123"/>
      <c r="Q123"/>
      <c r="R123"/>
      <c r="S123" s="51"/>
      <c r="T123"/>
      <c r="U123"/>
      <c r="V123"/>
      <c r="W123" s="51"/>
      <c r="X123"/>
      <c r="Y123"/>
      <c r="Z123"/>
      <c r="AA123" s="51"/>
      <c r="AB123"/>
      <c r="AC123"/>
      <c r="AD123"/>
      <c r="AE123" s="51"/>
      <c r="AF123"/>
      <c r="AG123"/>
      <c r="AH123"/>
      <c r="AM123" s="30" t="s">
        <v>23</v>
      </c>
      <c r="AN123" s="30" t="s">
        <v>24</v>
      </c>
      <c r="AO123" s="30" t="s">
        <v>24</v>
      </c>
      <c r="AQ123" s="30" t="s">
        <v>24</v>
      </c>
      <c r="AR123" s="30" t="s">
        <v>24</v>
      </c>
      <c r="AS123" s="30" t="s">
        <v>24</v>
      </c>
      <c r="AU123" s="30" t="s">
        <v>24</v>
      </c>
      <c r="AV123" s="30" t="s">
        <v>24</v>
      </c>
      <c r="AW123" s="30" t="s">
        <v>24</v>
      </c>
      <c r="AX123"/>
      <c r="AY123" s="30" t="s">
        <v>24</v>
      </c>
      <c r="AZ123" s="30" t="s">
        <v>24</v>
      </c>
      <c r="BA123" s="30" t="s">
        <v>24</v>
      </c>
      <c r="BC123" s="30" t="s">
        <v>24</v>
      </c>
      <c r="BD123" s="30" t="s">
        <v>24</v>
      </c>
      <c r="BE123" s="30" t="s">
        <v>24</v>
      </c>
      <c r="BG123" s="30" t="s">
        <v>24</v>
      </c>
      <c r="BH123" s="30" t="s">
        <v>24</v>
      </c>
      <c r="BI123" s="30" t="s">
        <v>24</v>
      </c>
    </row>
    <row r="124" spans="1:61" x14ac:dyDescent="0.25">
      <c r="A124" s="165"/>
      <c r="B124" t="s">
        <v>783</v>
      </c>
      <c r="D124" s="1">
        <f t="shared" si="11"/>
        <v>18</v>
      </c>
      <c r="E124" t="s">
        <v>327</v>
      </c>
      <c r="F124" t="s">
        <v>328</v>
      </c>
      <c r="G124" s="51"/>
      <c r="H124"/>
      <c r="I124"/>
      <c r="J124"/>
      <c r="K124" s="51"/>
      <c r="L124"/>
      <c r="M124"/>
      <c r="N124"/>
      <c r="O124" s="51"/>
      <c r="P124"/>
      <c r="Q124"/>
      <c r="R124"/>
      <c r="S124" s="51"/>
      <c r="T124"/>
      <c r="U124"/>
      <c r="V124"/>
      <c r="W124" s="51"/>
      <c r="X124"/>
      <c r="Y124"/>
      <c r="Z124"/>
      <c r="AA124" s="51"/>
      <c r="AB124"/>
      <c r="AC124"/>
      <c r="AD124"/>
      <c r="AE124" s="51"/>
      <c r="AF124"/>
      <c r="AG124"/>
      <c r="AH124"/>
      <c r="AM124" s="30" t="s">
        <v>23</v>
      </c>
      <c r="AN124" s="30" t="s">
        <v>24</v>
      </c>
      <c r="AO124" s="30" t="s">
        <v>24</v>
      </c>
      <c r="AQ124" s="30" t="s">
        <v>24</v>
      </c>
      <c r="AR124" s="30" t="s">
        <v>24</v>
      </c>
      <c r="AS124" s="30" t="s">
        <v>24</v>
      </c>
      <c r="AU124" s="30" t="s">
        <v>24</v>
      </c>
      <c r="AV124" s="30" t="s">
        <v>24</v>
      </c>
      <c r="AW124" s="30" t="s">
        <v>24</v>
      </c>
      <c r="AX124"/>
      <c r="AY124" s="30" t="s">
        <v>24</v>
      </c>
      <c r="AZ124" s="30" t="s">
        <v>24</v>
      </c>
      <c r="BA124" s="30" t="s">
        <v>24</v>
      </c>
      <c r="BC124" s="30" t="s">
        <v>24</v>
      </c>
      <c r="BD124" s="30" t="s">
        <v>24</v>
      </c>
      <c r="BE124" s="30" t="s">
        <v>24</v>
      </c>
      <c r="BG124" s="30" t="s">
        <v>24</v>
      </c>
      <c r="BH124" s="30" t="s">
        <v>24</v>
      </c>
      <c r="BI124" s="30" t="s">
        <v>24</v>
      </c>
    </row>
    <row r="125" spans="1:61" s="8" customFormat="1" ht="6.75" customHeight="1" x14ac:dyDescent="0.25">
      <c r="A125" s="165"/>
      <c r="C125" s="18"/>
      <c r="D125" s="10"/>
      <c r="G125" s="50"/>
      <c r="H125" s="38"/>
      <c r="I125" s="38"/>
      <c r="J125" s="38"/>
      <c r="K125" s="50"/>
      <c r="L125" s="38"/>
      <c r="M125" s="38"/>
      <c r="N125" s="38"/>
      <c r="O125" s="66"/>
      <c r="P125" s="33"/>
      <c r="Q125" s="33"/>
      <c r="R125" s="33"/>
      <c r="S125" s="66"/>
      <c r="T125" s="33"/>
      <c r="U125" s="33"/>
      <c r="V125" s="33"/>
      <c r="W125" s="66"/>
      <c r="X125" s="33"/>
      <c r="Y125" s="33"/>
      <c r="Z125" s="33"/>
      <c r="AA125" s="66"/>
      <c r="AB125" s="33"/>
      <c r="AC125" s="33"/>
      <c r="AD125" s="33"/>
      <c r="AE125" s="66"/>
      <c r="AF125" s="33"/>
      <c r="AG125" s="33"/>
      <c r="AH125" s="33"/>
      <c r="AI125" s="84"/>
      <c r="AL125" s="83"/>
      <c r="AU125" s="66"/>
      <c r="AV125" s="33"/>
      <c r="AW125" s="33"/>
      <c r="AX125" s="33"/>
      <c r="AY125" s="84"/>
      <c r="BB125" s="83"/>
    </row>
    <row r="126" spans="1:61" x14ac:dyDescent="0.25">
      <c r="A126" s="165"/>
      <c r="B126" t="s">
        <v>305</v>
      </c>
      <c r="D126" s="1">
        <f t="shared" si="11"/>
        <v>0</v>
      </c>
      <c r="F126" t="s">
        <v>329</v>
      </c>
      <c r="G126" s="51"/>
      <c r="H126"/>
      <c r="I126"/>
      <c r="J126"/>
      <c r="K126" s="51"/>
      <c r="L126"/>
      <c r="M126"/>
      <c r="N126"/>
      <c r="O126" s="51"/>
      <c r="P126"/>
      <c r="Q126"/>
      <c r="R126"/>
      <c r="S126" s="51"/>
      <c r="T126"/>
      <c r="U126"/>
      <c r="V126"/>
      <c r="W126" s="51"/>
      <c r="X126"/>
      <c r="Y126"/>
      <c r="Z126"/>
      <c r="AA126" s="51"/>
      <c r="AB126"/>
      <c r="AC126"/>
      <c r="AD126"/>
      <c r="AE126" s="51"/>
      <c r="AF126"/>
      <c r="AG126"/>
      <c r="AH126"/>
      <c r="AU126" s="51"/>
      <c r="AV126"/>
      <c r="AW126"/>
      <c r="AX126"/>
    </row>
    <row r="127" spans="1:61" x14ac:dyDescent="0.25">
      <c r="A127" s="165"/>
      <c r="B127" t="s">
        <v>308</v>
      </c>
      <c r="D127" s="1">
        <f t="shared" si="11"/>
        <v>0</v>
      </c>
      <c r="E127" t="s">
        <v>330</v>
      </c>
      <c r="F127" t="s">
        <v>331</v>
      </c>
      <c r="G127" s="51"/>
      <c r="H127"/>
      <c r="I127"/>
      <c r="J127"/>
      <c r="K127" s="51"/>
      <c r="L127"/>
      <c r="M127"/>
      <c r="N127"/>
      <c r="O127" s="51"/>
      <c r="P127"/>
      <c r="Q127"/>
      <c r="R127"/>
      <c r="S127" s="51"/>
      <c r="T127"/>
      <c r="U127"/>
      <c r="V127"/>
      <c r="W127" s="51"/>
      <c r="X127"/>
      <c r="Y127"/>
      <c r="Z127"/>
      <c r="AA127" s="51"/>
      <c r="AB127"/>
      <c r="AC127"/>
      <c r="AD127"/>
      <c r="AE127" s="51"/>
      <c r="AF127"/>
      <c r="AG127"/>
      <c r="AH127"/>
      <c r="AU127" s="51"/>
      <c r="AV127"/>
      <c r="AW127"/>
      <c r="AX127"/>
    </row>
    <row r="128" spans="1:61" x14ac:dyDescent="0.25">
      <c r="A128" s="165"/>
      <c r="B128" t="s">
        <v>311</v>
      </c>
      <c r="D128" s="1">
        <f t="shared" si="11"/>
        <v>0</v>
      </c>
      <c r="F128" t="s">
        <v>332</v>
      </c>
      <c r="G128" s="51"/>
      <c r="H128"/>
      <c r="I128"/>
      <c r="J128"/>
      <c r="K128" s="51"/>
      <c r="L128"/>
      <c r="M128"/>
      <c r="N128"/>
      <c r="O128" s="51"/>
      <c r="P128"/>
      <c r="Q128"/>
      <c r="R128"/>
      <c r="S128" s="51"/>
      <c r="T128"/>
      <c r="U128"/>
      <c r="V128"/>
      <c r="W128" s="51"/>
      <c r="X128"/>
      <c r="Y128"/>
      <c r="Z128"/>
      <c r="AA128" s="51"/>
      <c r="AB128"/>
      <c r="AC128"/>
      <c r="AD128"/>
      <c r="AE128" s="51"/>
      <c r="AF128"/>
      <c r="AG128"/>
      <c r="AH128"/>
      <c r="AU128" s="51"/>
      <c r="AV128"/>
      <c r="AW128"/>
      <c r="AX128"/>
    </row>
    <row r="129" spans="1:50" x14ac:dyDescent="0.25">
      <c r="A129" s="165"/>
      <c r="B129" t="s">
        <v>314</v>
      </c>
      <c r="D129" s="1">
        <f t="shared" si="11"/>
        <v>0</v>
      </c>
      <c r="F129" t="s">
        <v>333</v>
      </c>
      <c r="G129" s="51"/>
      <c r="H129"/>
      <c r="I129"/>
      <c r="J129"/>
      <c r="K129" s="51"/>
      <c r="L129"/>
      <c r="M129"/>
      <c r="N129"/>
      <c r="O129" s="51"/>
      <c r="P129"/>
      <c r="Q129"/>
      <c r="R129"/>
      <c r="S129" s="51"/>
      <c r="T129"/>
      <c r="U129"/>
      <c r="V129"/>
      <c r="W129" s="51"/>
      <c r="X129"/>
      <c r="Y129"/>
      <c r="Z129"/>
      <c r="AA129" s="51"/>
      <c r="AB129"/>
      <c r="AC129"/>
      <c r="AD129"/>
      <c r="AE129" s="51"/>
      <c r="AF129"/>
      <c r="AG129"/>
      <c r="AH129"/>
      <c r="AU129" s="51"/>
      <c r="AV129"/>
      <c r="AW129"/>
      <c r="AX129"/>
    </row>
    <row r="130" spans="1:50" x14ac:dyDescent="0.25">
      <c r="A130" s="165"/>
      <c r="B130" t="s">
        <v>317</v>
      </c>
      <c r="D130" s="1">
        <f t="shared" si="11"/>
        <v>0</v>
      </c>
      <c r="F130" t="s">
        <v>334</v>
      </c>
      <c r="G130" s="51"/>
      <c r="H130"/>
      <c r="I130"/>
      <c r="J130"/>
      <c r="K130" s="51"/>
      <c r="L130"/>
      <c r="M130"/>
      <c r="N130"/>
      <c r="O130" s="51"/>
      <c r="P130"/>
      <c r="Q130"/>
      <c r="R130"/>
      <c r="S130" s="51"/>
      <c r="T130"/>
      <c r="U130"/>
      <c r="V130"/>
      <c r="W130" s="51"/>
      <c r="X130"/>
      <c r="Y130"/>
      <c r="Z130"/>
      <c r="AA130" s="51"/>
      <c r="AB130"/>
      <c r="AC130"/>
      <c r="AD130"/>
      <c r="AE130" s="51"/>
      <c r="AF130"/>
      <c r="AG130"/>
      <c r="AH130"/>
      <c r="AU130" s="51"/>
      <c r="AV130"/>
      <c r="AW130"/>
      <c r="AX130"/>
    </row>
    <row r="131" spans="1:50" x14ac:dyDescent="0.25">
      <c r="A131" s="165"/>
      <c r="B131" t="s">
        <v>320</v>
      </c>
      <c r="D131" s="1">
        <f t="shared" si="11"/>
        <v>0</v>
      </c>
      <c r="F131" t="s">
        <v>335</v>
      </c>
      <c r="G131" s="51"/>
      <c r="H131"/>
      <c r="I131"/>
      <c r="J131"/>
      <c r="K131" s="51"/>
      <c r="L131"/>
      <c r="M131"/>
      <c r="N131"/>
      <c r="O131" s="51"/>
      <c r="P131"/>
      <c r="Q131"/>
      <c r="R131"/>
      <c r="S131" s="51"/>
      <c r="T131"/>
      <c r="U131"/>
      <c r="V131"/>
      <c r="W131" s="51"/>
      <c r="X131"/>
      <c r="Y131"/>
      <c r="Z131"/>
      <c r="AA131" s="51"/>
      <c r="AB131"/>
      <c r="AC131"/>
      <c r="AD131"/>
      <c r="AE131" s="51"/>
      <c r="AF131"/>
      <c r="AG131"/>
      <c r="AH131"/>
      <c r="AU131" s="51"/>
      <c r="AV131"/>
      <c r="AW131"/>
      <c r="AX131"/>
    </row>
    <row r="132" spans="1:50" x14ac:dyDescent="0.25">
      <c r="A132" s="165"/>
      <c r="B132" t="s">
        <v>323</v>
      </c>
      <c r="D132" s="1">
        <f t="shared" si="11"/>
        <v>0</v>
      </c>
      <c r="E132" t="s">
        <v>336</v>
      </c>
      <c r="F132" t="s">
        <v>337</v>
      </c>
      <c r="G132" s="51"/>
      <c r="H132"/>
      <c r="I132"/>
      <c r="J132"/>
      <c r="K132" s="51"/>
      <c r="L132"/>
      <c r="M132"/>
      <c r="N132"/>
      <c r="O132" s="51"/>
      <c r="P132"/>
      <c r="Q132"/>
      <c r="R132"/>
      <c r="S132" s="51"/>
      <c r="T132"/>
      <c r="U132"/>
      <c r="V132"/>
      <c r="W132" s="51"/>
      <c r="X132"/>
      <c r="Y132"/>
      <c r="Z132"/>
      <c r="AA132" s="51"/>
      <c r="AB132"/>
      <c r="AC132"/>
      <c r="AD132"/>
      <c r="AE132" s="51"/>
      <c r="AF132"/>
      <c r="AG132"/>
      <c r="AH132"/>
      <c r="AU132" s="51"/>
      <c r="AV132"/>
      <c r="AW132"/>
      <c r="AX132"/>
    </row>
    <row r="133" spans="1:50" x14ac:dyDescent="0.25">
      <c r="A133" s="165"/>
      <c r="B133" t="s">
        <v>326</v>
      </c>
      <c r="D133" s="1">
        <f t="shared" si="11"/>
        <v>0</v>
      </c>
      <c r="F133" t="s">
        <v>338</v>
      </c>
      <c r="G133" s="51"/>
      <c r="H133"/>
      <c r="I133"/>
      <c r="J133"/>
      <c r="K133" s="51"/>
      <c r="L133"/>
      <c r="M133"/>
      <c r="N133"/>
      <c r="O133" s="51"/>
      <c r="P133"/>
      <c r="Q133"/>
      <c r="R133"/>
      <c r="S133" s="51"/>
      <c r="T133"/>
      <c r="U133"/>
      <c r="V133"/>
      <c r="W133" s="51"/>
      <c r="X133"/>
      <c r="Y133"/>
      <c r="Z133"/>
      <c r="AA133" s="51"/>
      <c r="AB133"/>
      <c r="AC133"/>
      <c r="AD133"/>
      <c r="AE133" s="51"/>
      <c r="AF133"/>
      <c r="AG133"/>
      <c r="AH133"/>
      <c r="AU133" s="51"/>
      <c r="AV133"/>
      <c r="AW133"/>
      <c r="AX133"/>
    </row>
  </sheetData>
  <mergeCells count="43">
    <mergeCell ref="BC9:BJ9"/>
    <mergeCell ref="AU8:AX8"/>
    <mergeCell ref="AY8:BB8"/>
    <mergeCell ref="BC8:BF8"/>
    <mergeCell ref="BG8:BJ8"/>
    <mergeCell ref="AU1:AX1"/>
    <mergeCell ref="AY1:BB1"/>
    <mergeCell ref="BC1:BF1"/>
    <mergeCell ref="BG1:BJ1"/>
    <mergeCell ref="AQ1:AT1"/>
    <mergeCell ref="AQ8:AT8"/>
    <mergeCell ref="AM9:AT9"/>
    <mergeCell ref="AE8:AH8"/>
    <mergeCell ref="AA8:AD8"/>
    <mergeCell ref="A108:A115"/>
    <mergeCell ref="A117:A133"/>
    <mergeCell ref="AM1:AP1"/>
    <mergeCell ref="AM8:AP8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  <mergeCell ref="D7:F7"/>
    <mergeCell ref="G1:J1"/>
    <mergeCell ref="W1:Z1"/>
    <mergeCell ref="O8:R8"/>
    <mergeCell ref="D8:F8"/>
    <mergeCell ref="B6:B7"/>
    <mergeCell ref="W8:Z8"/>
    <mergeCell ref="S8:V8"/>
    <mergeCell ref="AI8:AL8"/>
    <mergeCell ref="D4:F4"/>
    <mergeCell ref="D3:F3"/>
    <mergeCell ref="D9:F9"/>
    <mergeCell ref="AE1:AH1"/>
    <mergeCell ref="AA1:AD1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/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2026-06-25T20:42:34Z</dcterms:modified>
</cp:coreProperties>
</file>
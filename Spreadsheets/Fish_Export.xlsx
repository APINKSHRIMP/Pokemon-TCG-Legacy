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okemon TCG Legacy\Spreadsheets\"/>
    </mc:Choice>
  </mc:AlternateContent>
  <xr:revisionPtr revIDLastSave="0" documentId="13_ncr:1_{295BF4CC-A392-462A-AF05-FE3C247825AB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Fish" sheetId="1" r:id="rId1"/>
    <sheet name="Notes" sheetId="2" r:id="rId2"/>
  </sheets>
  <definedNames>
    <definedName name="_xlnm._FilterDatabase" localSheetId="0" hidden="1">Fish!$A$1:$R$78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2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S2" i="1"/>
  <c r="AA2" i="1" s="1"/>
  <c r="AB2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2" i="1"/>
  <c r="R78" i="1"/>
  <c r="Q78" i="1"/>
  <c r="J78" i="1"/>
  <c r="G78" i="1"/>
  <c r="R77" i="1"/>
  <c r="Q77" i="1"/>
  <c r="J77" i="1"/>
  <c r="G77" i="1"/>
  <c r="R76" i="1"/>
  <c r="Q76" i="1"/>
  <c r="J76" i="1"/>
  <c r="G76" i="1"/>
  <c r="R75" i="1"/>
  <c r="Q75" i="1"/>
  <c r="J75" i="1"/>
  <c r="G75" i="1"/>
  <c r="R74" i="1"/>
  <c r="Q74" i="1"/>
  <c r="J74" i="1"/>
  <c r="G74" i="1"/>
  <c r="R73" i="1"/>
  <c r="Q73" i="1"/>
  <c r="J73" i="1"/>
  <c r="G73" i="1"/>
  <c r="R72" i="1"/>
  <c r="Q72" i="1"/>
  <c r="J72" i="1"/>
  <c r="G72" i="1"/>
  <c r="R71" i="1"/>
  <c r="Q71" i="1"/>
  <c r="J71" i="1"/>
  <c r="G71" i="1"/>
  <c r="R70" i="1"/>
  <c r="Q70" i="1"/>
  <c r="J70" i="1"/>
  <c r="G70" i="1"/>
  <c r="R69" i="1"/>
  <c r="Q69" i="1"/>
  <c r="J69" i="1"/>
  <c r="G69" i="1"/>
  <c r="R68" i="1"/>
  <c r="Q68" i="1"/>
  <c r="J68" i="1"/>
  <c r="G68" i="1"/>
  <c r="R67" i="1"/>
  <c r="Q67" i="1"/>
  <c r="J67" i="1"/>
  <c r="G67" i="1"/>
  <c r="R66" i="1"/>
  <c r="Q66" i="1"/>
  <c r="J66" i="1"/>
  <c r="G66" i="1"/>
  <c r="R65" i="1"/>
  <c r="Q65" i="1"/>
  <c r="J65" i="1"/>
  <c r="G65" i="1"/>
  <c r="R64" i="1"/>
  <c r="Q64" i="1"/>
  <c r="J64" i="1"/>
  <c r="G64" i="1"/>
  <c r="R63" i="1"/>
  <c r="Q63" i="1"/>
  <c r="J63" i="1"/>
  <c r="G63" i="1"/>
  <c r="R62" i="1"/>
  <c r="Q62" i="1"/>
  <c r="J62" i="1"/>
  <c r="G62" i="1"/>
  <c r="R61" i="1"/>
  <c r="Q61" i="1"/>
  <c r="J61" i="1"/>
  <c r="G61" i="1"/>
  <c r="R60" i="1"/>
  <c r="Q60" i="1"/>
  <c r="J60" i="1"/>
  <c r="G60" i="1"/>
  <c r="R59" i="1"/>
  <c r="Q59" i="1"/>
  <c r="J59" i="1"/>
  <c r="G59" i="1"/>
  <c r="R58" i="1"/>
  <c r="Q58" i="1"/>
  <c r="J58" i="1"/>
  <c r="G58" i="1"/>
  <c r="R57" i="1"/>
  <c r="Q57" i="1"/>
  <c r="J57" i="1"/>
  <c r="G57" i="1"/>
  <c r="R56" i="1"/>
  <c r="Q56" i="1"/>
  <c r="J56" i="1"/>
  <c r="G56" i="1"/>
  <c r="R55" i="1"/>
  <c r="Q55" i="1"/>
  <c r="J55" i="1"/>
  <c r="G55" i="1"/>
  <c r="R54" i="1"/>
  <c r="Q54" i="1"/>
  <c r="J54" i="1"/>
  <c r="G54" i="1"/>
  <c r="R53" i="1"/>
  <c r="Q53" i="1"/>
  <c r="J53" i="1"/>
  <c r="G53" i="1"/>
  <c r="R52" i="1"/>
  <c r="Q52" i="1"/>
  <c r="J52" i="1"/>
  <c r="G52" i="1"/>
  <c r="R51" i="1"/>
  <c r="Q51" i="1"/>
  <c r="J51" i="1"/>
  <c r="G51" i="1"/>
  <c r="R50" i="1"/>
  <c r="Q50" i="1"/>
  <c r="J50" i="1"/>
  <c r="G50" i="1"/>
  <c r="R49" i="1"/>
  <c r="Q49" i="1"/>
  <c r="J49" i="1"/>
  <c r="G49" i="1"/>
  <c r="R48" i="1"/>
  <c r="Q48" i="1"/>
  <c r="J48" i="1"/>
  <c r="G48" i="1"/>
  <c r="R47" i="1"/>
  <c r="Q47" i="1"/>
  <c r="J47" i="1"/>
  <c r="G47" i="1"/>
  <c r="R46" i="1"/>
  <c r="Q46" i="1"/>
  <c r="J46" i="1"/>
  <c r="G46" i="1"/>
  <c r="R45" i="1"/>
  <c r="Q45" i="1"/>
  <c r="J45" i="1"/>
  <c r="G45" i="1"/>
  <c r="R44" i="1"/>
  <c r="Q44" i="1"/>
  <c r="J44" i="1"/>
  <c r="G44" i="1"/>
  <c r="R43" i="1"/>
  <c r="Q43" i="1"/>
  <c r="J43" i="1"/>
  <c r="G43" i="1"/>
  <c r="R42" i="1"/>
  <c r="Q42" i="1"/>
  <c r="J42" i="1"/>
  <c r="G42" i="1"/>
  <c r="R41" i="1"/>
  <c r="Q41" i="1"/>
  <c r="J41" i="1"/>
  <c r="G41" i="1"/>
  <c r="R40" i="1"/>
  <c r="Q40" i="1"/>
  <c r="J40" i="1"/>
  <c r="G40" i="1"/>
  <c r="R39" i="1"/>
  <c r="Q39" i="1"/>
  <c r="J39" i="1"/>
  <c r="G39" i="1"/>
  <c r="R38" i="1"/>
  <c r="Q38" i="1"/>
  <c r="J38" i="1"/>
  <c r="G38" i="1"/>
  <c r="R37" i="1"/>
  <c r="Q37" i="1"/>
  <c r="J37" i="1"/>
  <c r="G37" i="1"/>
  <c r="R36" i="1"/>
  <c r="Q36" i="1"/>
  <c r="J36" i="1"/>
  <c r="G36" i="1"/>
  <c r="R35" i="1"/>
  <c r="Q35" i="1"/>
  <c r="J35" i="1"/>
  <c r="G35" i="1"/>
  <c r="R34" i="1"/>
  <c r="Q34" i="1"/>
  <c r="J34" i="1"/>
  <c r="G34" i="1"/>
  <c r="R33" i="1"/>
  <c r="Q33" i="1"/>
  <c r="J33" i="1"/>
  <c r="G33" i="1"/>
  <c r="R32" i="1"/>
  <c r="Q32" i="1"/>
  <c r="J32" i="1"/>
  <c r="G32" i="1"/>
  <c r="R31" i="1"/>
  <c r="Q31" i="1"/>
  <c r="J31" i="1"/>
  <c r="G31" i="1"/>
  <c r="R30" i="1"/>
  <c r="Q30" i="1"/>
  <c r="J30" i="1"/>
  <c r="G30" i="1"/>
  <c r="R29" i="1"/>
  <c r="Q29" i="1"/>
  <c r="J29" i="1"/>
  <c r="G29" i="1"/>
  <c r="R28" i="1"/>
  <c r="Q28" i="1"/>
  <c r="J28" i="1"/>
  <c r="G28" i="1"/>
  <c r="R27" i="1"/>
  <c r="Q27" i="1"/>
  <c r="J27" i="1"/>
  <c r="G27" i="1"/>
  <c r="R26" i="1"/>
  <c r="Q26" i="1"/>
  <c r="J26" i="1"/>
  <c r="G26" i="1"/>
  <c r="R25" i="1"/>
  <c r="Q25" i="1"/>
  <c r="J25" i="1"/>
  <c r="G25" i="1"/>
  <c r="R24" i="1"/>
  <c r="Q24" i="1"/>
  <c r="J24" i="1"/>
  <c r="G24" i="1"/>
  <c r="R23" i="1"/>
  <c r="Q23" i="1"/>
  <c r="J23" i="1"/>
  <c r="G23" i="1"/>
  <c r="R22" i="1"/>
  <c r="Q22" i="1"/>
  <c r="J22" i="1"/>
  <c r="G22" i="1"/>
  <c r="R21" i="1"/>
  <c r="Q21" i="1"/>
  <c r="J21" i="1"/>
  <c r="G21" i="1"/>
  <c r="R20" i="1"/>
  <c r="Q20" i="1"/>
  <c r="J20" i="1"/>
  <c r="G20" i="1"/>
  <c r="R19" i="1"/>
  <c r="Q19" i="1"/>
  <c r="J19" i="1"/>
  <c r="G19" i="1"/>
  <c r="R18" i="1"/>
  <c r="Q18" i="1"/>
  <c r="J18" i="1"/>
  <c r="G18" i="1"/>
  <c r="R17" i="1"/>
  <c r="Q17" i="1"/>
  <c r="J17" i="1"/>
  <c r="G17" i="1"/>
  <c r="R16" i="1"/>
  <c r="Q16" i="1"/>
  <c r="J16" i="1"/>
  <c r="G16" i="1"/>
  <c r="R15" i="1"/>
  <c r="Q15" i="1"/>
  <c r="J15" i="1"/>
  <c r="G15" i="1"/>
  <c r="R14" i="1"/>
  <c r="Q14" i="1"/>
  <c r="J14" i="1"/>
  <c r="G14" i="1"/>
  <c r="R13" i="1"/>
  <c r="Q13" i="1"/>
  <c r="J13" i="1"/>
  <c r="G13" i="1"/>
  <c r="R12" i="1"/>
  <c r="Q12" i="1"/>
  <c r="J12" i="1"/>
  <c r="G12" i="1"/>
  <c r="R11" i="1"/>
  <c r="Q11" i="1"/>
  <c r="J11" i="1"/>
  <c r="G11" i="1"/>
  <c r="R10" i="1"/>
  <c r="Q10" i="1"/>
  <c r="J10" i="1"/>
  <c r="G10" i="1"/>
  <c r="R9" i="1"/>
  <c r="Q9" i="1"/>
  <c r="J9" i="1"/>
  <c r="G9" i="1"/>
  <c r="R8" i="1"/>
  <c r="Q8" i="1"/>
  <c r="J8" i="1"/>
  <c r="G8" i="1"/>
  <c r="R7" i="1"/>
  <c r="Q7" i="1"/>
  <c r="J7" i="1"/>
  <c r="G7" i="1"/>
  <c r="R6" i="1"/>
  <c r="Q6" i="1"/>
  <c r="J6" i="1"/>
  <c r="G6" i="1"/>
  <c r="R5" i="1"/>
  <c r="Q5" i="1"/>
  <c r="J5" i="1"/>
  <c r="G5" i="1"/>
  <c r="R4" i="1"/>
  <c r="Q4" i="1"/>
  <c r="J4" i="1"/>
  <c r="G4" i="1"/>
  <c r="R3" i="1"/>
  <c r="Q3" i="1"/>
  <c r="J3" i="1"/>
  <c r="G3" i="1"/>
  <c r="R2" i="1"/>
  <c r="Q2" i="1"/>
  <c r="J2" i="1"/>
  <c r="G2" i="1"/>
</calcChain>
</file>

<file path=xl/sharedStrings.xml><?xml version="1.0" encoding="utf-8"?>
<sst xmlns="http://schemas.openxmlformats.org/spreadsheetml/2006/main" count="370" uniqueCount="216">
  <si>
    <t>Location</t>
  </si>
  <si>
    <t>Time of Day</t>
  </si>
  <si>
    <t>Species Key</t>
  </si>
  <si>
    <t>Dex #</t>
  </si>
  <si>
    <t>Name</t>
  </si>
  <si>
    <t>Rate (weight)</t>
  </si>
  <si>
    <t>Appearance %</t>
  </si>
  <si>
    <t>Big Fish</t>
  </si>
  <si>
    <t>Fish Size</t>
  </si>
  <si>
    <t>Water Size</t>
  </si>
  <si>
    <t>Energy</t>
  </si>
  <si>
    <t>Line Strength</t>
  </si>
  <si>
    <t>Rest (s)</t>
  </si>
  <si>
    <t>Reel Step</t>
  </si>
  <si>
    <t>Run Dist</t>
  </si>
  <si>
    <t>Speed</t>
  </si>
  <si>
    <t>Uncountered Time to Tire (s)</t>
  </si>
  <si>
    <t>Countered Time to Tire (s)</t>
  </si>
  <si>
    <t>Celeste Harbour - Saltwater (lighthouse)</t>
  </si>
  <si>
    <t>Morning</t>
  </si>
  <si>
    <t>098_Krabby</t>
  </si>
  <si>
    <t>Krabby</t>
  </si>
  <si>
    <t>099_Kingler</t>
  </si>
  <si>
    <t>Kingler</t>
  </si>
  <si>
    <t>692_Clauncher</t>
  </si>
  <si>
    <t>Clauncher</t>
  </si>
  <si>
    <t>693_Clawitzer</t>
  </si>
  <si>
    <t>Clawitzer</t>
  </si>
  <si>
    <t>Afternoon</t>
  </si>
  <si>
    <t>072_Tentacool</t>
  </si>
  <si>
    <t>Tentacool</t>
  </si>
  <si>
    <t>073_Tentacruel</t>
  </si>
  <si>
    <t>Tentacruel</t>
  </si>
  <si>
    <t>688_Binacle</t>
  </si>
  <si>
    <t>Binacle</t>
  </si>
  <si>
    <t>689_Barbaracle</t>
  </si>
  <si>
    <t>Barbaracle</t>
  </si>
  <si>
    <t>Evening</t>
  </si>
  <si>
    <t>211_Qwilfish</t>
  </si>
  <si>
    <t>Qwilfish</t>
  </si>
  <si>
    <t>116_Horsea</t>
  </si>
  <si>
    <t>Horsea</t>
  </si>
  <si>
    <t>117_Seadra</t>
  </si>
  <si>
    <t>Seadra</t>
  </si>
  <si>
    <t>230_Kingdra</t>
  </si>
  <si>
    <t>Kingdra</t>
  </si>
  <si>
    <t>Night</t>
  </si>
  <si>
    <t>170_Chinchou</t>
  </si>
  <si>
    <t>Chinchou</t>
  </si>
  <si>
    <t>171_Lanturn</t>
  </si>
  <si>
    <t>Lanturn</t>
  </si>
  <si>
    <t>456_Finneon</t>
  </si>
  <si>
    <t>Finneon</t>
  </si>
  <si>
    <t>457_Lumineon</t>
  </si>
  <si>
    <t>Lumineon</t>
  </si>
  <si>
    <t>Celeste Harbour - Freshwater (pond)</t>
  </si>
  <si>
    <t>341_Corphish</t>
  </si>
  <si>
    <t>Corphish</t>
  </si>
  <si>
    <t>342_Crawdaunt</t>
  </si>
  <si>
    <t>Crawdaunt</t>
  </si>
  <si>
    <t>298_Azurill</t>
  </si>
  <si>
    <t>Azurill</t>
  </si>
  <si>
    <t>183_Marill</t>
  </si>
  <si>
    <t>Marill</t>
  </si>
  <si>
    <t>184_Azumarill</t>
  </si>
  <si>
    <t>Azumarill</t>
  </si>
  <si>
    <t>550_Basculin_Red_Striped</t>
  </si>
  <si>
    <t>Basculin Red Striped</t>
  </si>
  <si>
    <t>418_Buizel</t>
  </si>
  <si>
    <t>Buizel</t>
  </si>
  <si>
    <t>419_Floatzel</t>
  </si>
  <si>
    <t>Floatzel</t>
  </si>
  <si>
    <t>129_Magikarp</t>
  </si>
  <si>
    <t>Magikarp</t>
  </si>
  <si>
    <t>130_Gyarados</t>
  </si>
  <si>
    <t>Gyarados</t>
  </si>
  <si>
    <t>079_Slowpoke</t>
  </si>
  <si>
    <t>Slowpoke</t>
  </si>
  <si>
    <t>080_Slowbro</t>
  </si>
  <si>
    <t>Slowbro</t>
  </si>
  <si>
    <t>199_Slowking</t>
  </si>
  <si>
    <t>Slowking</t>
  </si>
  <si>
    <t>550_Basculin_Blue_Striped</t>
  </si>
  <si>
    <t>Basculin Blue Striped</t>
  </si>
  <si>
    <t>602_Tynamo</t>
  </si>
  <si>
    <t>Tynamo</t>
  </si>
  <si>
    <t>603_Eelektrik</t>
  </si>
  <si>
    <t>Eelektrik</t>
  </si>
  <si>
    <t>604_Eelektross</t>
  </si>
  <si>
    <t>Eelektross</t>
  </si>
  <si>
    <t>453_Croagunk</t>
  </si>
  <si>
    <t>Croagunk</t>
  </si>
  <si>
    <t>454_Toxicroak</t>
  </si>
  <si>
    <t>Toxicroak</t>
  </si>
  <si>
    <t>Verdant Forest</t>
  </si>
  <si>
    <t>060_Poliwag</t>
  </si>
  <si>
    <t>Poliwag</t>
  </si>
  <si>
    <t>061_Poliwhirl</t>
  </si>
  <si>
    <t>Poliwhirl</t>
  </si>
  <si>
    <t>062_Poliwrath</t>
  </si>
  <si>
    <t>Poliwrath</t>
  </si>
  <si>
    <t>186_Politoed</t>
  </si>
  <si>
    <t>Politoed</t>
  </si>
  <si>
    <t>399_Bidoof</t>
  </si>
  <si>
    <t>Bidoof</t>
  </si>
  <si>
    <t>400_Bibarel</t>
  </si>
  <si>
    <t>Bibarel</t>
  </si>
  <si>
    <t>270_Lotad</t>
  </si>
  <si>
    <t>Lotad</t>
  </si>
  <si>
    <t>271_Lombre</t>
  </si>
  <si>
    <t>Lombre</t>
  </si>
  <si>
    <t>272_Ludicolo</t>
  </si>
  <si>
    <t>Ludicolo</t>
  </si>
  <si>
    <t>118_Goldeen</t>
  </si>
  <si>
    <t>Goldeen</t>
  </si>
  <si>
    <t>119_Seaking</t>
  </si>
  <si>
    <t>Seaking</t>
  </si>
  <si>
    <t>339_Barboach</t>
  </si>
  <si>
    <t>Barboach</t>
  </si>
  <si>
    <t>340_Whiscash</t>
  </si>
  <si>
    <t>Whiscash</t>
  </si>
  <si>
    <t>535_Tympole</t>
  </si>
  <si>
    <t>Tympole</t>
  </si>
  <si>
    <t>536_Palpitoad</t>
  </si>
  <si>
    <t>Palpitoad</t>
  </si>
  <si>
    <t>537_Seismitoad</t>
  </si>
  <si>
    <t>Seismitoad</t>
  </si>
  <si>
    <t>194_Wooper</t>
  </si>
  <si>
    <t>Wooper</t>
  </si>
  <si>
    <t>195_Quagsire</t>
  </si>
  <si>
    <t>Quagsire</t>
  </si>
  <si>
    <t>054_Psyduck</t>
  </si>
  <si>
    <t>Psyduck</t>
  </si>
  <si>
    <t>055_Golduck</t>
  </si>
  <si>
    <t>Golduck</t>
  </si>
  <si>
    <t>Deep Ocean</t>
  </si>
  <si>
    <t>592_Frillish</t>
  </si>
  <si>
    <t>Frillish</t>
  </si>
  <si>
    <t>593_Jellicent</t>
  </si>
  <si>
    <t>Jellicent</t>
  </si>
  <si>
    <t>746_Wishiwashi</t>
  </si>
  <si>
    <t>Wishiwashi</t>
  </si>
  <si>
    <t>746_Wishiwashi_School</t>
  </si>
  <si>
    <t>Wishiwashi School</t>
  </si>
  <si>
    <t>963_Finizen</t>
  </si>
  <si>
    <t>Finizen</t>
  </si>
  <si>
    <t>964_Palafin</t>
  </si>
  <si>
    <t>Palafin</t>
  </si>
  <si>
    <t>320_Wailmer</t>
  </si>
  <si>
    <t>Wailmer</t>
  </si>
  <si>
    <t>321_Wailord</t>
  </si>
  <si>
    <t>Wailord</t>
  </si>
  <si>
    <t>846_Arrokuda</t>
  </si>
  <si>
    <t>Arrokuda</t>
  </si>
  <si>
    <t>847_Barraskewda</t>
  </si>
  <si>
    <t>Barraskewda</t>
  </si>
  <si>
    <t>223_Remoraid</t>
  </si>
  <si>
    <t>Remoraid</t>
  </si>
  <si>
    <t>224_Octillery</t>
  </si>
  <si>
    <t>Octillery</t>
  </si>
  <si>
    <t>366_Clamperl</t>
  </si>
  <si>
    <t>Clamperl</t>
  </si>
  <si>
    <t>368_Gorebyss</t>
  </si>
  <si>
    <t>Gorebyss</t>
  </si>
  <si>
    <t>367_Huntail</t>
  </si>
  <si>
    <t>Huntail</t>
  </si>
  <si>
    <t>976_Veluza</t>
  </si>
  <si>
    <t>Veluza</t>
  </si>
  <si>
    <t>369_Relicanth</t>
  </si>
  <si>
    <t>Relicanth</t>
  </si>
  <si>
    <t>686_Inkay</t>
  </si>
  <si>
    <t>Inkay</t>
  </si>
  <si>
    <t>687_Malamar</t>
  </si>
  <si>
    <t>Malamar</t>
  </si>
  <si>
    <t>318_Carvanha</t>
  </si>
  <si>
    <t>Carvanha</t>
  </si>
  <si>
    <t>319_Sharpedo</t>
  </si>
  <si>
    <t>Sharpedo</t>
  </si>
  <si>
    <t>781_Dhelmise</t>
  </si>
  <si>
    <t>Dhelmise</t>
  </si>
  <si>
    <t>Constant</t>
  </si>
  <si>
    <t>Value</t>
  </si>
  <si>
    <t>Meaning / source</t>
  </si>
  <si>
    <t>Exported</t>
  </si>
  <si>
    <t>2026-10-05</t>
  </si>
  <si>
    <t>Snapshot of NPC_and_Opponent_Data/Pokemon/Spawns/*.json fishing_spot tables + Overworld_Pokemon.json species stats. Re-export after editing the game data.</t>
  </si>
  <si>
    <t>Big silhouette length ratio</t>
  </si>
  <si>
    <t>FishingArt big fish rect height 46 px / small 18 px. Water Size = Fish Size x this when Big Fish is TRUE.</t>
  </si>
  <si>
    <t>Passive energy drain /s</t>
  </si>
  <si>
    <t>ENERGY_BLEED in Fishing_Minigame.gd - lost every second whatever the player does.</t>
  </si>
  <si>
    <t>Correct-input drain /s</t>
  </si>
  <si>
    <t>ENERGY_DRAIN in Fishing_Minigame.gd - extra loss per second while countering correctly.</t>
  </si>
  <si>
    <t>Max energy lost per rest</t>
  </si>
  <si>
    <t>ENERGY_MAX_LOSS_PER_REST - each rest the bar refills 10% smaller (compounding). Time-to-tire columns are the FIRST bar only.</t>
  </si>
  <si>
    <t>Column</t>
  </si>
  <si>
    <t>Meaning</t>
  </si>
  <si>
    <t>Table weight; weights are relative within one location + time slot.</t>
  </si>
  <si>
    <t>Rate / sum of rates for that location and time slot = chance per bite.</t>
  </si>
  <si>
    <t>Stamina bar. Higher = longer fight.</t>
  </si>
  <si>
    <t>Tension needed to snap (red) or drop (blue) the line. Higher = more forgiving.</t>
  </si>
  <si>
    <t>Seconds the fish stays blown = reel-in window.</t>
  </si>
  <si>
    <t>World px hauled in per reel press while resting. Higher = easier.</t>
  </si>
  <si>
    <t>World px it runs past the bobber on the strike (pool max ~155 salt, 70 fresh, 85 Verdant, 125 deep).</t>
  </si>
  <si>
    <t>World px/s of its side-to-side run.</t>
  </si>
  <si>
    <t>Blue values</t>
  </si>
  <si>
    <t>Raw game data (inputs). Black = formulas.</t>
  </si>
  <si>
    <t>rarity</t>
  </si>
  <si>
    <t>big fish</t>
  </si>
  <si>
    <t>size</t>
  </si>
  <si>
    <t>Line strength</t>
  </si>
  <si>
    <t>rest</t>
  </si>
  <si>
    <t>reel</t>
  </si>
  <si>
    <t>run dis</t>
  </si>
  <si>
    <t>speed</t>
  </si>
  <si>
    <t>FISHCOINS</t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</si>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</sst>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164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166" fontId="3" fillId="0" borderId="0" xfId="0" applyNumberFormat="1" applyFont="1"/>
    <xf numFmtId="9" fontId="3" fillId="0" borderId="0" xfId="0" applyNumberFormat="1" applyFont="1"/>
    <xf numFmtId="1" fontId="2" fillId="2" borderId="0" xfId="0" applyNumberFormat="1" applyFont="1" applyFill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"/>
  <sheetViews>
    <sheetView tabSelected="1" zoomScale="148" workbookViewId="0">
      <pane xSplit="5" ySplit="1" topLeftCell="G2" activePane="bottomRight" state="frozen"/>
      <selection pane="topRight"/>
      <selection pane="bottomLeft"/>
      <selection pane="bottomRight" activeCell="U3" sqref="U3"/>
    </sheetView>
  </sheetViews>
  <sheetFormatPr defaultRowHeight="15" x14ac:dyDescent="0.25"/>
  <cols>
    <col min="1" max="1" width="36" hidden="1" customWidth="1"/>
    <col min="2" max="2" width="12" hidden="1" customWidth="1"/>
    <col min="3" max="3" width="26" hidden="1" customWidth="1"/>
    <col min="4" max="4" width="7" hidden="1" customWidth="1"/>
    <col min="5" max="5" width="18" customWidth="1"/>
    <col min="6" max="6" width="10" customWidth="1"/>
    <col min="7" max="7" width="12" customWidth="1"/>
    <col min="8" max="9" width="9" customWidth="1"/>
    <col min="10" max="10" width="10" customWidth="1"/>
    <col min="11" max="11" width="8" customWidth="1"/>
    <col min="12" max="12" width="10" customWidth="1"/>
    <col min="13" max="15" width="9" customWidth="1"/>
    <col min="16" max="16" width="8" customWidth="1"/>
    <col min="17" max="18" width="14" customWidth="1"/>
    <col min="27" max="28" width="9.140625" style="11"/>
  </cols>
  <sheetData>
    <row r="1" spans="1:2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206</v>
      </c>
      <c r="T1" s="1" t="s">
        <v>207</v>
      </c>
      <c r="U1" s="1" t="s">
        <v>208</v>
      </c>
      <c r="V1" s="1" t="s">
        <v>209</v>
      </c>
      <c r="W1" s="1" t="s">
        <v>210</v>
      </c>
      <c r="X1" s="1" t="s">
        <v>211</v>
      </c>
      <c r="Y1" s="1" t="s">
        <v>212</v>
      </c>
      <c r="Z1" s="1" t="s">
        <v>213</v>
      </c>
      <c r="AA1" s="10" t="s">
        <v>215</v>
      </c>
      <c r="AB1" s="10" t="s">
        <v>214</v>
      </c>
    </row>
    <row r="2" spans="1:28" x14ac:dyDescent="0.25">
      <c r="A2" s="2" t="s">
        <v>18</v>
      </c>
      <c r="B2" s="2" t="s">
        <v>19</v>
      </c>
      <c r="C2" s="2" t="s">
        <v>20</v>
      </c>
      <c r="D2" s="2">
        <v>98</v>
      </c>
      <c r="E2" s="2" t="s">
        <v>21</v>
      </c>
      <c r="F2" s="3">
        <v>45</v>
      </c>
      <c r="G2" s="4">
        <f>F2/SUMIFS($F:$F,$A:$A,A2,$B:$B,B2)</f>
        <v>0.45</v>
      </c>
      <c r="H2" s="3" t="b">
        <v>0</v>
      </c>
      <c r="I2" s="3">
        <v>0.7</v>
      </c>
      <c r="J2" s="5">
        <f>IF(H2,Notes!$B$4,1)*I2</f>
        <v>0.7</v>
      </c>
      <c r="K2" s="3">
        <v>85</v>
      </c>
      <c r="L2" s="3">
        <v>120</v>
      </c>
      <c r="M2" s="3">
        <v>2</v>
      </c>
      <c r="N2" s="3">
        <v>7</v>
      </c>
      <c r="O2" s="3">
        <v>10</v>
      </c>
      <c r="P2" s="3">
        <v>80</v>
      </c>
      <c r="Q2" s="6">
        <f>K2/Notes!$B$5</f>
        <v>42.5</v>
      </c>
      <c r="R2" s="6">
        <f>K2/(Notes!$B$5+Notes!$B$6)</f>
        <v>7.083333333333333</v>
      </c>
      <c r="S2">
        <f>200/(F2/2)</f>
        <v>8.8888888888888893</v>
      </c>
      <c r="T2">
        <f>IF(H2,200,50)</f>
        <v>50</v>
      </c>
      <c r="U2">
        <f>100-(100*((1-I2)/2))*2</f>
        <v>70</v>
      </c>
      <c r="V2">
        <f>100+(100-L2)/2</f>
        <v>90</v>
      </c>
      <c r="W2">
        <f>(100/M2)</f>
        <v>50</v>
      </c>
      <c r="X2">
        <f>200/(N2*N2)*10</f>
        <v>40.816326530612244</v>
      </c>
      <c r="Y2">
        <f>O2/2</f>
        <v>5</v>
      </c>
      <c r="Z2">
        <f>P2/4</f>
        <v>20</v>
      </c>
      <c r="AA2" s="11">
        <f>SUM(S2:Z2)</f>
        <v>334.70521541950114</v>
      </c>
      <c r="AB2" s="11">
        <f>AA2/10</f>
        <v>33.470521541950113</v>
      </c>
    </row>
    <row r="3" spans="1:28" x14ac:dyDescent="0.25">
      <c r="A3" s="2" t="s">
        <v>18</v>
      </c>
      <c r="B3" s="2" t="s">
        <v>19</v>
      </c>
      <c r="C3" s="2" t="s">
        <v>22</v>
      </c>
      <c r="D3" s="2">
        <v>99</v>
      </c>
      <c r="E3" s="2" t="s">
        <v>23</v>
      </c>
      <c r="F3" s="3">
        <v>15</v>
      </c>
      <c r="G3" s="4">
        <f>F3/SUMIFS($F:$F,$A:$A,A3,$B:$B,B3)</f>
        <v>0.15</v>
      </c>
      <c r="H3" s="3" t="b">
        <v>1</v>
      </c>
      <c r="I3" s="3">
        <v>0.6</v>
      </c>
      <c r="J3" s="5">
        <f>IF(H3,Notes!$B$4,1)*I3</f>
        <v>1.533333333333333</v>
      </c>
      <c r="K3" s="3">
        <v>140</v>
      </c>
      <c r="L3" s="3">
        <v>85</v>
      </c>
      <c r="M3" s="3">
        <v>1.5</v>
      </c>
      <c r="N3" s="3">
        <v>5</v>
      </c>
      <c r="O3" s="3">
        <v>120</v>
      </c>
      <c r="P3" s="3">
        <v>110</v>
      </c>
      <c r="Q3" s="6">
        <f>K3/Notes!$B$5</f>
        <v>70</v>
      </c>
      <c r="R3" s="6">
        <f>K3/(Notes!$B$5+Notes!$B$6)</f>
        <v>11.666666666666666</v>
      </c>
      <c r="S3">
        <f t="shared" ref="S3:S66" si="0">200/(F3/2)</f>
        <v>26.666666666666668</v>
      </c>
      <c r="T3">
        <f t="shared" ref="T3:T66" si="1">IF(H3,200,50)</f>
        <v>200</v>
      </c>
      <c r="U3">
        <f t="shared" ref="U3:U66" si="2">100-(100*((1-I3)/2))*2</f>
        <v>60</v>
      </c>
      <c r="V3">
        <f t="shared" ref="V3:V66" si="3">100+(100-L3)/2</f>
        <v>107.5</v>
      </c>
      <c r="W3">
        <f t="shared" ref="W3:W66" si="4">(100/M3)</f>
        <v>66.666666666666671</v>
      </c>
      <c r="X3">
        <f t="shared" ref="X3:X66" si="5">200/(N3*N3)*10</f>
        <v>80</v>
      </c>
      <c r="Y3">
        <f t="shared" ref="Y3:Y66" si="6">O3/2</f>
        <v>60</v>
      </c>
      <c r="Z3">
        <f t="shared" ref="Z3:Z66" si="7">P3/2</f>
        <v>55</v>
      </c>
      <c r="AA3" s="11">
        <f t="shared" ref="AA3:AA66" si="8">SUM(S3:Z3)</f>
        <v>655.83333333333326</v>
      </c>
      <c r="AB3" s="11">
        <f t="shared" ref="AB3:AB66" si="9">AA3/10</f>
        <v>65.583333333333329</v>
      </c>
    </row>
    <row r="4" spans="1:28" x14ac:dyDescent="0.25">
      <c r="A4" s="2" t="s">
        <v>18</v>
      </c>
      <c r="B4" s="2" t="s">
        <v>19</v>
      </c>
      <c r="C4" s="2" t="s">
        <v>24</v>
      </c>
      <c r="D4" s="2">
        <v>692</v>
      </c>
      <c r="E4" s="2" t="s">
        <v>25</v>
      </c>
      <c r="F4" s="3">
        <v>35</v>
      </c>
      <c r="G4" s="4">
        <f>F4/SUMIFS($F:$F,$A:$A,A4,$B:$B,B4)</f>
        <v>0.35</v>
      </c>
      <c r="H4" s="3" t="b">
        <v>0</v>
      </c>
      <c r="I4" s="3">
        <v>0.7</v>
      </c>
      <c r="J4" s="5">
        <f>IF(H4,Notes!$B$4,1)*I4</f>
        <v>0.7</v>
      </c>
      <c r="K4" s="3">
        <v>80</v>
      </c>
      <c r="L4" s="3">
        <v>90</v>
      </c>
      <c r="M4" s="3">
        <v>1.5</v>
      </c>
      <c r="N4" s="3">
        <v>7</v>
      </c>
      <c r="O4" s="3">
        <v>0</v>
      </c>
      <c r="P4" s="3">
        <v>90</v>
      </c>
      <c r="Q4" s="6">
        <f>K4/Notes!$B$5</f>
        <v>40</v>
      </c>
      <c r="R4" s="6">
        <f>K4/(Notes!$B$5+Notes!$B$6)</f>
        <v>6.666666666666667</v>
      </c>
      <c r="S4">
        <f t="shared" si="0"/>
        <v>11.428571428571429</v>
      </c>
      <c r="T4">
        <f t="shared" si="1"/>
        <v>50</v>
      </c>
      <c r="U4">
        <f t="shared" si="2"/>
        <v>70</v>
      </c>
      <c r="V4">
        <f t="shared" si="3"/>
        <v>105</v>
      </c>
      <c r="W4">
        <f t="shared" si="4"/>
        <v>66.666666666666671</v>
      </c>
      <c r="X4">
        <f t="shared" si="5"/>
        <v>40.816326530612244</v>
      </c>
      <c r="Y4">
        <f t="shared" si="6"/>
        <v>0</v>
      </c>
      <c r="Z4">
        <f t="shared" si="7"/>
        <v>45</v>
      </c>
      <c r="AA4" s="11">
        <f t="shared" si="8"/>
        <v>388.91156462585036</v>
      </c>
      <c r="AB4" s="11">
        <f t="shared" si="9"/>
        <v>38.891156462585037</v>
      </c>
    </row>
    <row r="5" spans="1:28" x14ac:dyDescent="0.25">
      <c r="A5" s="2" t="s">
        <v>18</v>
      </c>
      <c r="B5" s="2" t="s">
        <v>19</v>
      </c>
      <c r="C5" s="2" t="s">
        <v>26</v>
      </c>
      <c r="D5" s="2">
        <v>693</v>
      </c>
      <c r="E5" s="2" t="s">
        <v>27</v>
      </c>
      <c r="F5" s="3">
        <v>5</v>
      </c>
      <c r="G5" s="4">
        <f>F5/SUMIFS($F:$F,$A:$A,A5,$B:$B,B5)</f>
        <v>0.05</v>
      </c>
      <c r="H5" s="3" t="b">
        <v>1</v>
      </c>
      <c r="I5" s="3">
        <v>0.8</v>
      </c>
      <c r="J5" s="5">
        <f>IF(H5,Notes!$B$4,1)*I5</f>
        <v>2.0444444444444438</v>
      </c>
      <c r="K5" s="3">
        <v>120</v>
      </c>
      <c r="L5" s="3">
        <v>80</v>
      </c>
      <c r="M5" s="3">
        <v>2.5</v>
      </c>
      <c r="N5" s="3">
        <v>7</v>
      </c>
      <c r="O5" s="3">
        <v>110</v>
      </c>
      <c r="P5" s="3">
        <v>110</v>
      </c>
      <c r="Q5" s="6">
        <f>K5/Notes!$B$5</f>
        <v>60</v>
      </c>
      <c r="R5" s="6">
        <f>K5/(Notes!$B$5+Notes!$B$6)</f>
        <v>10</v>
      </c>
      <c r="S5">
        <f t="shared" si="0"/>
        <v>80</v>
      </c>
      <c r="T5">
        <f t="shared" si="1"/>
        <v>200</v>
      </c>
      <c r="U5">
        <f t="shared" si="2"/>
        <v>80</v>
      </c>
      <c r="V5">
        <f t="shared" si="3"/>
        <v>110</v>
      </c>
      <c r="W5">
        <f t="shared" si="4"/>
        <v>40</v>
      </c>
      <c r="X5">
        <f t="shared" si="5"/>
        <v>40.816326530612244</v>
      </c>
      <c r="Y5">
        <f t="shared" si="6"/>
        <v>55</v>
      </c>
      <c r="Z5">
        <f t="shared" si="7"/>
        <v>55</v>
      </c>
      <c r="AA5" s="11">
        <f t="shared" si="8"/>
        <v>660.81632653061229</v>
      </c>
      <c r="AB5" s="11">
        <f t="shared" si="9"/>
        <v>66.081632653061234</v>
      </c>
    </row>
    <row r="6" spans="1:28" x14ac:dyDescent="0.25">
      <c r="A6" s="2" t="s">
        <v>18</v>
      </c>
      <c r="B6" s="2" t="s">
        <v>28</v>
      </c>
      <c r="C6" s="2" t="s">
        <v>29</v>
      </c>
      <c r="D6" s="2">
        <v>72</v>
      </c>
      <c r="E6" s="2" t="s">
        <v>30</v>
      </c>
      <c r="F6" s="3">
        <v>45</v>
      </c>
      <c r="G6" s="4">
        <f>F6/SUMIFS($F:$F,$A:$A,A6,$B:$B,B6)</f>
        <v>0.45</v>
      </c>
      <c r="H6" s="3" t="b">
        <v>0</v>
      </c>
      <c r="I6" s="3">
        <v>0.8</v>
      </c>
      <c r="J6" s="5">
        <f>IF(H6,Notes!$B$4,1)*I6</f>
        <v>0.8</v>
      </c>
      <c r="K6" s="3">
        <v>80</v>
      </c>
      <c r="L6" s="3">
        <v>150</v>
      </c>
      <c r="M6" s="3">
        <v>2.5</v>
      </c>
      <c r="N6" s="3">
        <v>7</v>
      </c>
      <c r="O6" s="3">
        <v>10</v>
      </c>
      <c r="P6" s="3">
        <v>80</v>
      </c>
      <c r="Q6" s="6">
        <f>K6/Notes!$B$5</f>
        <v>40</v>
      </c>
      <c r="R6" s="6">
        <f>K6/(Notes!$B$5+Notes!$B$6)</f>
        <v>6.666666666666667</v>
      </c>
      <c r="S6">
        <f t="shared" si="0"/>
        <v>8.8888888888888893</v>
      </c>
      <c r="T6">
        <f t="shared" si="1"/>
        <v>50</v>
      </c>
      <c r="U6">
        <f t="shared" si="2"/>
        <v>80</v>
      </c>
      <c r="V6">
        <f t="shared" si="3"/>
        <v>75</v>
      </c>
      <c r="W6">
        <f t="shared" si="4"/>
        <v>40</v>
      </c>
      <c r="X6">
        <f t="shared" si="5"/>
        <v>40.816326530612244</v>
      </c>
      <c r="Y6">
        <f t="shared" si="6"/>
        <v>5</v>
      </c>
      <c r="Z6">
        <f t="shared" si="7"/>
        <v>40</v>
      </c>
      <c r="AA6" s="11">
        <f t="shared" si="8"/>
        <v>339.70521541950114</v>
      </c>
      <c r="AB6" s="11">
        <f t="shared" si="9"/>
        <v>33.970521541950113</v>
      </c>
    </row>
    <row r="7" spans="1:28" x14ac:dyDescent="0.25">
      <c r="A7" s="2" t="s">
        <v>18</v>
      </c>
      <c r="B7" s="2" t="s">
        <v>28</v>
      </c>
      <c r="C7" s="2" t="s">
        <v>31</v>
      </c>
      <c r="D7" s="2">
        <v>73</v>
      </c>
      <c r="E7" s="2" t="s">
        <v>32</v>
      </c>
      <c r="F7" s="3">
        <v>15</v>
      </c>
      <c r="G7" s="4">
        <f>F7/SUMIFS($F:$F,$A:$A,A7,$B:$B,B7)</f>
        <v>0.15</v>
      </c>
      <c r="H7" s="3" t="b">
        <v>1</v>
      </c>
      <c r="I7" s="3">
        <v>0.7</v>
      </c>
      <c r="J7" s="5">
        <f>IF(H7,Notes!$B$4,1)*I7</f>
        <v>1.7888888888888883</v>
      </c>
      <c r="K7" s="3">
        <v>110</v>
      </c>
      <c r="L7" s="3">
        <v>90</v>
      </c>
      <c r="M7" s="3">
        <v>1.5</v>
      </c>
      <c r="N7" s="3">
        <v>5</v>
      </c>
      <c r="O7" s="3">
        <v>100</v>
      </c>
      <c r="P7" s="3">
        <v>110</v>
      </c>
      <c r="Q7" s="6">
        <f>K7/Notes!$B$5</f>
        <v>55</v>
      </c>
      <c r="R7" s="6">
        <f>K7/(Notes!$B$5+Notes!$B$6)</f>
        <v>9.1666666666666661</v>
      </c>
      <c r="S7">
        <f t="shared" si="0"/>
        <v>26.666666666666668</v>
      </c>
      <c r="T7">
        <f t="shared" si="1"/>
        <v>200</v>
      </c>
      <c r="U7">
        <f t="shared" si="2"/>
        <v>70</v>
      </c>
      <c r="V7">
        <f t="shared" si="3"/>
        <v>105</v>
      </c>
      <c r="W7">
        <f t="shared" si="4"/>
        <v>66.666666666666671</v>
      </c>
      <c r="X7">
        <f t="shared" si="5"/>
        <v>80</v>
      </c>
      <c r="Y7">
        <f t="shared" si="6"/>
        <v>50</v>
      </c>
      <c r="Z7">
        <f t="shared" si="7"/>
        <v>55</v>
      </c>
      <c r="AA7" s="11">
        <f t="shared" si="8"/>
        <v>653.33333333333326</v>
      </c>
      <c r="AB7" s="11">
        <f t="shared" si="9"/>
        <v>65.333333333333329</v>
      </c>
    </row>
    <row r="8" spans="1:28" x14ac:dyDescent="0.25">
      <c r="A8" s="2" t="s">
        <v>18</v>
      </c>
      <c r="B8" s="2" t="s">
        <v>28</v>
      </c>
      <c r="C8" s="2" t="s">
        <v>33</v>
      </c>
      <c r="D8" s="2">
        <v>688</v>
      </c>
      <c r="E8" s="2" t="s">
        <v>34</v>
      </c>
      <c r="F8" s="3">
        <v>35</v>
      </c>
      <c r="G8" s="4">
        <f>F8/SUMIFS($F:$F,$A:$A,A8,$B:$B,B8)</f>
        <v>0.35</v>
      </c>
      <c r="H8" s="3" t="b">
        <v>0</v>
      </c>
      <c r="I8" s="3">
        <v>0.7</v>
      </c>
      <c r="J8" s="5">
        <f>IF(H8,Notes!$B$4,1)*I8</f>
        <v>0.7</v>
      </c>
      <c r="K8" s="3">
        <v>90</v>
      </c>
      <c r="L8" s="3">
        <v>110</v>
      </c>
      <c r="M8" s="3">
        <v>2</v>
      </c>
      <c r="N8" s="3">
        <v>7</v>
      </c>
      <c r="O8" s="3">
        <v>15</v>
      </c>
      <c r="P8" s="3">
        <v>70</v>
      </c>
      <c r="Q8" s="6">
        <f>K8/Notes!$B$5</f>
        <v>45</v>
      </c>
      <c r="R8" s="6">
        <f>K8/(Notes!$B$5+Notes!$B$6)</f>
        <v>7.5</v>
      </c>
      <c r="S8">
        <f t="shared" si="0"/>
        <v>11.428571428571429</v>
      </c>
      <c r="T8">
        <f t="shared" si="1"/>
        <v>50</v>
      </c>
      <c r="U8">
        <f t="shared" si="2"/>
        <v>70</v>
      </c>
      <c r="V8">
        <f t="shared" si="3"/>
        <v>95</v>
      </c>
      <c r="W8">
        <f t="shared" si="4"/>
        <v>50</v>
      </c>
      <c r="X8">
        <f t="shared" si="5"/>
        <v>40.816326530612244</v>
      </c>
      <c r="Y8">
        <f t="shared" si="6"/>
        <v>7.5</v>
      </c>
      <c r="Z8">
        <f t="shared" si="7"/>
        <v>35</v>
      </c>
      <c r="AA8" s="11">
        <f t="shared" si="8"/>
        <v>359.74489795918367</v>
      </c>
      <c r="AB8" s="11">
        <f t="shared" si="9"/>
        <v>35.974489795918366</v>
      </c>
    </row>
    <row r="9" spans="1:28" x14ac:dyDescent="0.25">
      <c r="A9" s="2" t="s">
        <v>18</v>
      </c>
      <c r="B9" s="2" t="s">
        <v>28</v>
      </c>
      <c r="C9" s="2" t="s">
        <v>35</v>
      </c>
      <c r="D9" s="2">
        <v>689</v>
      </c>
      <c r="E9" s="2" t="s">
        <v>36</v>
      </c>
      <c r="F9" s="3">
        <v>5</v>
      </c>
      <c r="G9" s="4">
        <f>F9/SUMIFS($F:$F,$A:$A,A9,$B:$B,B9)</f>
        <v>0.05</v>
      </c>
      <c r="H9" s="3" t="b">
        <v>1</v>
      </c>
      <c r="I9" s="3">
        <v>0.7</v>
      </c>
      <c r="J9" s="5">
        <f>IF(H9,Notes!$B$4,1)*I9</f>
        <v>1.7888888888888883</v>
      </c>
      <c r="K9" s="3">
        <v>150</v>
      </c>
      <c r="L9" s="3">
        <v>80</v>
      </c>
      <c r="M9" s="3">
        <v>2</v>
      </c>
      <c r="N9" s="3">
        <v>5</v>
      </c>
      <c r="O9" s="3">
        <v>130</v>
      </c>
      <c r="P9" s="3">
        <v>100</v>
      </c>
      <c r="Q9" s="6">
        <f>K9/Notes!$B$5</f>
        <v>75</v>
      </c>
      <c r="R9" s="6">
        <f>K9/(Notes!$B$5+Notes!$B$6)</f>
        <v>12.5</v>
      </c>
      <c r="S9">
        <f t="shared" si="0"/>
        <v>80</v>
      </c>
      <c r="T9">
        <f t="shared" si="1"/>
        <v>200</v>
      </c>
      <c r="U9">
        <f t="shared" si="2"/>
        <v>70</v>
      </c>
      <c r="V9">
        <f t="shared" si="3"/>
        <v>110</v>
      </c>
      <c r="W9">
        <f t="shared" si="4"/>
        <v>50</v>
      </c>
      <c r="X9">
        <f t="shared" si="5"/>
        <v>80</v>
      </c>
      <c r="Y9">
        <f t="shared" si="6"/>
        <v>65</v>
      </c>
      <c r="Z9">
        <f t="shared" si="7"/>
        <v>50</v>
      </c>
      <c r="AA9" s="11">
        <f t="shared" si="8"/>
        <v>705</v>
      </c>
      <c r="AB9" s="11">
        <f t="shared" si="9"/>
        <v>70.5</v>
      </c>
    </row>
    <row r="10" spans="1:28" x14ac:dyDescent="0.25">
      <c r="A10" s="2" t="s">
        <v>18</v>
      </c>
      <c r="B10" s="2" t="s">
        <v>37</v>
      </c>
      <c r="C10" s="2" t="s">
        <v>38</v>
      </c>
      <c r="D10" s="2">
        <v>211</v>
      </c>
      <c r="E10" s="2" t="s">
        <v>39</v>
      </c>
      <c r="F10" s="3">
        <v>30</v>
      </c>
      <c r="G10" s="4">
        <f>F10/SUMIFS($F:$F,$A:$A,A10,$B:$B,B10)</f>
        <v>0.3</v>
      </c>
      <c r="H10" s="3" t="b">
        <v>0</v>
      </c>
      <c r="I10" s="3">
        <v>0.6</v>
      </c>
      <c r="J10" s="5">
        <f>IF(H10,Notes!$B$4,1)*I10</f>
        <v>0.6</v>
      </c>
      <c r="K10" s="3">
        <v>90</v>
      </c>
      <c r="L10" s="3">
        <v>110</v>
      </c>
      <c r="M10" s="3">
        <v>2</v>
      </c>
      <c r="N10" s="3">
        <v>7</v>
      </c>
      <c r="O10" s="3">
        <v>75</v>
      </c>
      <c r="P10" s="3">
        <v>60</v>
      </c>
      <c r="Q10" s="6">
        <f>K10/Notes!$B$5</f>
        <v>45</v>
      </c>
      <c r="R10" s="6">
        <f>K10/(Notes!$B$5+Notes!$B$6)</f>
        <v>7.5</v>
      </c>
      <c r="S10">
        <f t="shared" si="0"/>
        <v>13.333333333333334</v>
      </c>
      <c r="T10">
        <f t="shared" si="1"/>
        <v>50</v>
      </c>
      <c r="U10">
        <f t="shared" si="2"/>
        <v>60</v>
      </c>
      <c r="V10">
        <f t="shared" si="3"/>
        <v>95</v>
      </c>
      <c r="W10">
        <f t="shared" si="4"/>
        <v>50</v>
      </c>
      <c r="X10">
        <f t="shared" si="5"/>
        <v>40.816326530612244</v>
      </c>
      <c r="Y10">
        <f t="shared" si="6"/>
        <v>37.5</v>
      </c>
      <c r="Z10">
        <f t="shared" si="7"/>
        <v>30</v>
      </c>
      <c r="AA10" s="11">
        <f t="shared" si="8"/>
        <v>376.6496598639456</v>
      </c>
      <c r="AB10" s="11">
        <f t="shared" si="9"/>
        <v>37.664965986394563</v>
      </c>
    </row>
    <row r="11" spans="1:28" x14ac:dyDescent="0.25">
      <c r="A11" s="2" t="s">
        <v>18</v>
      </c>
      <c r="B11" s="2" t="s">
        <v>37</v>
      </c>
      <c r="C11" s="2" t="s">
        <v>40</v>
      </c>
      <c r="D11" s="2">
        <v>116</v>
      </c>
      <c r="E11" s="2" t="s">
        <v>41</v>
      </c>
      <c r="F11" s="3">
        <v>45</v>
      </c>
      <c r="G11" s="4">
        <f>F11/SUMIFS($F:$F,$A:$A,A11,$B:$B,B11)</f>
        <v>0.45</v>
      </c>
      <c r="H11" s="3" t="b">
        <v>0</v>
      </c>
      <c r="I11" s="3">
        <v>0.8</v>
      </c>
      <c r="J11" s="5">
        <f>IF(H11,Notes!$B$4,1)*I11</f>
        <v>0.8</v>
      </c>
      <c r="K11" s="3">
        <v>90</v>
      </c>
      <c r="L11" s="3">
        <v>120</v>
      </c>
      <c r="M11" s="3">
        <v>2.5</v>
      </c>
      <c r="N11" s="3">
        <v>7</v>
      </c>
      <c r="O11" s="3">
        <v>10</v>
      </c>
      <c r="P11" s="3">
        <v>100</v>
      </c>
      <c r="Q11" s="6">
        <f>K11/Notes!$B$5</f>
        <v>45</v>
      </c>
      <c r="R11" s="6">
        <f>K11/(Notes!$B$5+Notes!$B$6)</f>
        <v>7.5</v>
      </c>
      <c r="S11">
        <f t="shared" si="0"/>
        <v>8.8888888888888893</v>
      </c>
      <c r="T11">
        <f t="shared" si="1"/>
        <v>50</v>
      </c>
      <c r="U11">
        <f t="shared" si="2"/>
        <v>80</v>
      </c>
      <c r="V11">
        <f t="shared" si="3"/>
        <v>90</v>
      </c>
      <c r="W11">
        <f t="shared" si="4"/>
        <v>40</v>
      </c>
      <c r="X11">
        <f t="shared" si="5"/>
        <v>40.816326530612244</v>
      </c>
      <c r="Y11">
        <f t="shared" si="6"/>
        <v>5</v>
      </c>
      <c r="Z11">
        <f t="shared" si="7"/>
        <v>50</v>
      </c>
      <c r="AA11" s="11">
        <f t="shared" si="8"/>
        <v>364.70521541950114</v>
      </c>
      <c r="AB11" s="11">
        <f t="shared" si="9"/>
        <v>36.470521541950113</v>
      </c>
    </row>
    <row r="12" spans="1:28" x14ac:dyDescent="0.25">
      <c r="A12" s="2" t="s">
        <v>18</v>
      </c>
      <c r="B12" s="2" t="s">
        <v>37</v>
      </c>
      <c r="C12" s="2" t="s">
        <v>42</v>
      </c>
      <c r="D12" s="2">
        <v>117</v>
      </c>
      <c r="E12" s="2" t="s">
        <v>43</v>
      </c>
      <c r="F12" s="3">
        <v>20</v>
      </c>
      <c r="G12" s="4">
        <f>F12/SUMIFS($F:$F,$A:$A,A12,$B:$B,B12)</f>
        <v>0.2</v>
      </c>
      <c r="H12" s="3" t="b">
        <v>1</v>
      </c>
      <c r="I12" s="3">
        <v>0.7</v>
      </c>
      <c r="J12" s="5">
        <f>IF(H12,Notes!$B$4,1)*I12</f>
        <v>1.7888888888888883</v>
      </c>
      <c r="K12" s="3">
        <v>120</v>
      </c>
      <c r="L12" s="3">
        <v>100</v>
      </c>
      <c r="M12" s="3">
        <v>1.8</v>
      </c>
      <c r="N12" s="3">
        <v>6</v>
      </c>
      <c r="O12" s="3">
        <v>100</v>
      </c>
      <c r="P12" s="3">
        <v>160</v>
      </c>
      <c r="Q12" s="6">
        <f>K12/Notes!$B$5</f>
        <v>60</v>
      </c>
      <c r="R12" s="6">
        <f>K12/(Notes!$B$5+Notes!$B$6)</f>
        <v>10</v>
      </c>
      <c r="S12">
        <f t="shared" si="0"/>
        <v>20</v>
      </c>
      <c r="T12">
        <f t="shared" si="1"/>
        <v>200</v>
      </c>
      <c r="U12">
        <f t="shared" si="2"/>
        <v>70</v>
      </c>
      <c r="V12">
        <f t="shared" si="3"/>
        <v>100</v>
      </c>
      <c r="W12">
        <f t="shared" si="4"/>
        <v>55.555555555555557</v>
      </c>
      <c r="X12">
        <f t="shared" si="5"/>
        <v>55.555555555555557</v>
      </c>
      <c r="Y12">
        <f t="shared" si="6"/>
        <v>50</v>
      </c>
      <c r="Z12">
        <f t="shared" si="7"/>
        <v>80</v>
      </c>
      <c r="AA12" s="11">
        <f t="shared" si="8"/>
        <v>631.11111111111109</v>
      </c>
      <c r="AB12" s="11">
        <f t="shared" si="9"/>
        <v>63.111111111111107</v>
      </c>
    </row>
    <row r="13" spans="1:28" x14ac:dyDescent="0.25">
      <c r="A13" s="2" t="s">
        <v>18</v>
      </c>
      <c r="B13" s="2" t="s">
        <v>37</v>
      </c>
      <c r="C13" s="2" t="s">
        <v>44</v>
      </c>
      <c r="D13" s="2">
        <v>230</v>
      </c>
      <c r="E13" s="2" t="s">
        <v>45</v>
      </c>
      <c r="F13" s="3">
        <v>5</v>
      </c>
      <c r="G13" s="4">
        <f>F13/SUMIFS($F:$F,$A:$A,A13,$B:$B,B13)</f>
        <v>0.05</v>
      </c>
      <c r="H13" s="3" t="b">
        <v>1</v>
      </c>
      <c r="I13" s="3">
        <v>0.8</v>
      </c>
      <c r="J13" s="5">
        <f>IF(H13,Notes!$B$4,1)*I13</f>
        <v>2.0444444444444438</v>
      </c>
      <c r="K13" s="3">
        <v>150</v>
      </c>
      <c r="L13" s="3">
        <v>80</v>
      </c>
      <c r="M13" s="3">
        <v>1.5</v>
      </c>
      <c r="N13" s="3">
        <v>5</v>
      </c>
      <c r="O13" s="3">
        <v>150</v>
      </c>
      <c r="P13" s="3">
        <v>200</v>
      </c>
      <c r="Q13" s="6">
        <f>K13/Notes!$B$5</f>
        <v>75</v>
      </c>
      <c r="R13" s="6">
        <f>K13/(Notes!$B$5+Notes!$B$6)</f>
        <v>12.5</v>
      </c>
      <c r="S13">
        <f t="shared" si="0"/>
        <v>80</v>
      </c>
      <c r="T13">
        <f t="shared" si="1"/>
        <v>200</v>
      </c>
      <c r="U13">
        <f t="shared" si="2"/>
        <v>80</v>
      </c>
      <c r="V13">
        <f t="shared" si="3"/>
        <v>110</v>
      </c>
      <c r="W13">
        <f t="shared" si="4"/>
        <v>66.666666666666671</v>
      </c>
      <c r="X13">
        <f t="shared" si="5"/>
        <v>80</v>
      </c>
      <c r="Y13">
        <f t="shared" si="6"/>
        <v>75</v>
      </c>
      <c r="Z13">
        <f t="shared" si="7"/>
        <v>100</v>
      </c>
      <c r="AA13" s="11">
        <f t="shared" si="8"/>
        <v>791.66666666666663</v>
      </c>
      <c r="AB13" s="11">
        <f t="shared" si="9"/>
        <v>79.166666666666657</v>
      </c>
    </row>
    <row r="14" spans="1:28" x14ac:dyDescent="0.25">
      <c r="A14" s="2" t="s">
        <v>18</v>
      </c>
      <c r="B14" s="2" t="s">
        <v>46</v>
      </c>
      <c r="C14" s="2" t="s">
        <v>47</v>
      </c>
      <c r="D14" s="2">
        <v>170</v>
      </c>
      <c r="E14" s="2" t="s">
        <v>48</v>
      </c>
      <c r="F14" s="3">
        <v>42</v>
      </c>
      <c r="G14" s="4">
        <f>F14/SUMIFS($F:$F,$A:$A,A14,$B:$B,B14)</f>
        <v>0.42</v>
      </c>
      <c r="H14" s="3" t="b">
        <v>0</v>
      </c>
      <c r="I14" s="3">
        <v>0.7</v>
      </c>
      <c r="J14" s="5">
        <f>IF(H14,Notes!$B$4,1)*I14</f>
        <v>0.7</v>
      </c>
      <c r="K14" s="3">
        <v>80</v>
      </c>
      <c r="L14" s="3">
        <v>140</v>
      </c>
      <c r="M14" s="3">
        <v>2.5</v>
      </c>
      <c r="N14" s="3">
        <v>7</v>
      </c>
      <c r="O14" s="3">
        <v>10</v>
      </c>
      <c r="P14" s="3">
        <v>60</v>
      </c>
      <c r="Q14" s="6">
        <f>K14/Notes!$B$5</f>
        <v>40</v>
      </c>
      <c r="R14" s="6">
        <f>K14/(Notes!$B$5+Notes!$B$6)</f>
        <v>6.666666666666667</v>
      </c>
      <c r="S14">
        <f t="shared" si="0"/>
        <v>9.5238095238095237</v>
      </c>
      <c r="T14">
        <f t="shared" si="1"/>
        <v>50</v>
      </c>
      <c r="U14">
        <f t="shared" si="2"/>
        <v>70</v>
      </c>
      <c r="V14">
        <f t="shared" si="3"/>
        <v>80</v>
      </c>
      <c r="W14">
        <f t="shared" si="4"/>
        <v>40</v>
      </c>
      <c r="X14">
        <f t="shared" si="5"/>
        <v>40.816326530612244</v>
      </c>
      <c r="Y14">
        <f t="shared" si="6"/>
        <v>5</v>
      </c>
      <c r="Z14">
        <f t="shared" si="7"/>
        <v>30</v>
      </c>
      <c r="AA14" s="11">
        <f t="shared" si="8"/>
        <v>325.34013605442175</v>
      </c>
      <c r="AB14" s="11">
        <f t="shared" si="9"/>
        <v>32.534013605442176</v>
      </c>
    </row>
    <row r="15" spans="1:28" x14ac:dyDescent="0.25">
      <c r="A15" s="2" t="s">
        <v>18</v>
      </c>
      <c r="B15" s="2" t="s">
        <v>46</v>
      </c>
      <c r="C15" s="2" t="s">
        <v>49</v>
      </c>
      <c r="D15" s="2">
        <v>171</v>
      </c>
      <c r="E15" s="2" t="s">
        <v>50</v>
      </c>
      <c r="F15" s="3">
        <v>15</v>
      </c>
      <c r="G15" s="4">
        <f>F15/SUMIFS($F:$F,$A:$A,A15,$B:$B,B15)</f>
        <v>0.15</v>
      </c>
      <c r="H15" s="3" t="b">
        <v>1</v>
      </c>
      <c r="I15" s="3">
        <v>0.6</v>
      </c>
      <c r="J15" s="5">
        <f>IF(H15,Notes!$B$4,1)*I15</f>
        <v>1.533333333333333</v>
      </c>
      <c r="K15" s="3">
        <v>120</v>
      </c>
      <c r="L15" s="3">
        <v>90</v>
      </c>
      <c r="M15" s="3">
        <v>2</v>
      </c>
      <c r="N15" s="3">
        <v>6</v>
      </c>
      <c r="O15" s="3">
        <v>50</v>
      </c>
      <c r="P15" s="3">
        <v>80</v>
      </c>
      <c r="Q15" s="6">
        <f>K15/Notes!$B$5</f>
        <v>60</v>
      </c>
      <c r="R15" s="6">
        <f>K15/(Notes!$B$5+Notes!$B$6)</f>
        <v>10</v>
      </c>
      <c r="S15">
        <f t="shared" si="0"/>
        <v>26.666666666666668</v>
      </c>
      <c r="T15">
        <f t="shared" si="1"/>
        <v>200</v>
      </c>
      <c r="U15">
        <f t="shared" si="2"/>
        <v>60</v>
      </c>
      <c r="V15">
        <f t="shared" si="3"/>
        <v>105</v>
      </c>
      <c r="W15">
        <f t="shared" si="4"/>
        <v>50</v>
      </c>
      <c r="X15">
        <f t="shared" si="5"/>
        <v>55.555555555555557</v>
      </c>
      <c r="Y15">
        <f t="shared" si="6"/>
        <v>25</v>
      </c>
      <c r="Z15">
        <f t="shared" si="7"/>
        <v>40</v>
      </c>
      <c r="AA15" s="11">
        <f t="shared" si="8"/>
        <v>562.22222222222217</v>
      </c>
      <c r="AB15" s="11">
        <f t="shared" si="9"/>
        <v>56.222222222222214</v>
      </c>
    </row>
    <row r="16" spans="1:28" x14ac:dyDescent="0.25">
      <c r="A16" s="2" t="s">
        <v>18</v>
      </c>
      <c r="B16" s="2" t="s">
        <v>46</v>
      </c>
      <c r="C16" s="2" t="s">
        <v>51</v>
      </c>
      <c r="D16" s="2">
        <v>456</v>
      </c>
      <c r="E16" s="2" t="s">
        <v>52</v>
      </c>
      <c r="F16" s="3">
        <v>33</v>
      </c>
      <c r="G16" s="4">
        <f>F16/SUMIFS($F:$F,$A:$A,A16,$B:$B,B16)</f>
        <v>0.33</v>
      </c>
      <c r="H16" s="3" t="b">
        <v>0</v>
      </c>
      <c r="I16" s="3">
        <v>0.5</v>
      </c>
      <c r="J16" s="5">
        <f>IF(H16,Notes!$B$4,1)*I16</f>
        <v>0.5</v>
      </c>
      <c r="K16" s="3">
        <v>75</v>
      </c>
      <c r="L16" s="3">
        <v>150</v>
      </c>
      <c r="M16" s="3">
        <v>3</v>
      </c>
      <c r="N16" s="3">
        <v>7</v>
      </c>
      <c r="O16" s="3">
        <v>10</v>
      </c>
      <c r="P16" s="3">
        <v>60</v>
      </c>
      <c r="Q16" s="6">
        <f>K16/Notes!$B$5</f>
        <v>37.5</v>
      </c>
      <c r="R16" s="6">
        <f>K16/(Notes!$B$5+Notes!$B$6)</f>
        <v>6.25</v>
      </c>
      <c r="S16">
        <f t="shared" si="0"/>
        <v>12.121212121212121</v>
      </c>
      <c r="T16">
        <f t="shared" si="1"/>
        <v>50</v>
      </c>
      <c r="U16">
        <f t="shared" si="2"/>
        <v>50</v>
      </c>
      <c r="V16">
        <f t="shared" si="3"/>
        <v>75</v>
      </c>
      <c r="W16">
        <f t="shared" si="4"/>
        <v>33.333333333333336</v>
      </c>
      <c r="X16">
        <f t="shared" si="5"/>
        <v>40.816326530612244</v>
      </c>
      <c r="Y16">
        <f t="shared" si="6"/>
        <v>5</v>
      </c>
      <c r="Z16">
        <f t="shared" si="7"/>
        <v>30</v>
      </c>
      <c r="AA16" s="11">
        <f t="shared" si="8"/>
        <v>296.27087198515773</v>
      </c>
      <c r="AB16" s="11">
        <f t="shared" si="9"/>
        <v>29.627087198515774</v>
      </c>
    </row>
    <row r="17" spans="1:28" x14ac:dyDescent="0.25">
      <c r="A17" s="2" t="s">
        <v>18</v>
      </c>
      <c r="B17" s="2" t="s">
        <v>46</v>
      </c>
      <c r="C17" s="2" t="s">
        <v>53</v>
      </c>
      <c r="D17" s="2">
        <v>457</v>
      </c>
      <c r="E17" s="2" t="s">
        <v>54</v>
      </c>
      <c r="F17" s="3">
        <v>10</v>
      </c>
      <c r="G17" s="4">
        <f>F17/SUMIFS($F:$F,$A:$A,A17,$B:$B,B17)</f>
        <v>0.1</v>
      </c>
      <c r="H17" s="3" t="b">
        <v>1</v>
      </c>
      <c r="I17" s="3">
        <v>0.8</v>
      </c>
      <c r="J17" s="5">
        <f>IF(H17,Notes!$B$4,1)*I17</f>
        <v>2.0444444444444438</v>
      </c>
      <c r="K17" s="3">
        <v>120</v>
      </c>
      <c r="L17" s="3">
        <v>90</v>
      </c>
      <c r="M17" s="3">
        <v>2.5</v>
      </c>
      <c r="N17" s="3">
        <v>5</v>
      </c>
      <c r="O17" s="3">
        <v>50</v>
      </c>
      <c r="P17" s="3">
        <v>80</v>
      </c>
      <c r="Q17" s="6">
        <f>K17/Notes!$B$5</f>
        <v>60</v>
      </c>
      <c r="R17" s="6">
        <f>K17/(Notes!$B$5+Notes!$B$6)</f>
        <v>10</v>
      </c>
      <c r="S17">
        <f t="shared" si="0"/>
        <v>40</v>
      </c>
      <c r="T17">
        <f t="shared" si="1"/>
        <v>200</v>
      </c>
      <c r="U17">
        <f t="shared" si="2"/>
        <v>80</v>
      </c>
      <c r="V17">
        <f t="shared" si="3"/>
        <v>105</v>
      </c>
      <c r="W17">
        <f t="shared" si="4"/>
        <v>40</v>
      </c>
      <c r="X17">
        <f t="shared" si="5"/>
        <v>80</v>
      </c>
      <c r="Y17">
        <f t="shared" si="6"/>
        <v>25</v>
      </c>
      <c r="Z17">
        <f t="shared" si="7"/>
        <v>40</v>
      </c>
      <c r="AA17" s="11">
        <f t="shared" si="8"/>
        <v>610</v>
      </c>
      <c r="AB17" s="11">
        <f t="shared" si="9"/>
        <v>61</v>
      </c>
    </row>
    <row r="18" spans="1:28" x14ac:dyDescent="0.25">
      <c r="A18" s="2" t="s">
        <v>55</v>
      </c>
      <c r="B18" s="2" t="s">
        <v>19</v>
      </c>
      <c r="C18" s="2" t="s">
        <v>56</v>
      </c>
      <c r="D18" s="2">
        <v>341</v>
      </c>
      <c r="E18" s="2" t="s">
        <v>57</v>
      </c>
      <c r="F18" s="3">
        <v>35</v>
      </c>
      <c r="G18" s="4">
        <f>F18/SUMIFS($F:$F,$A:$A,A18,$B:$B,B18)</f>
        <v>0.35</v>
      </c>
      <c r="H18" s="3" t="b">
        <v>0</v>
      </c>
      <c r="I18" s="3">
        <v>0.7</v>
      </c>
      <c r="J18" s="5">
        <f>IF(H18,Notes!$B$4,1)*I18</f>
        <v>0.7</v>
      </c>
      <c r="K18" s="3">
        <v>85</v>
      </c>
      <c r="L18" s="3">
        <v>115</v>
      </c>
      <c r="M18" s="3">
        <v>2</v>
      </c>
      <c r="N18" s="3">
        <v>7</v>
      </c>
      <c r="O18" s="3">
        <v>10</v>
      </c>
      <c r="P18" s="3">
        <v>80</v>
      </c>
      <c r="Q18" s="6">
        <f>K18/Notes!$B$5</f>
        <v>42.5</v>
      </c>
      <c r="R18" s="6">
        <f>K18/(Notes!$B$5+Notes!$B$6)</f>
        <v>7.083333333333333</v>
      </c>
      <c r="S18">
        <f t="shared" si="0"/>
        <v>11.428571428571429</v>
      </c>
      <c r="T18">
        <f t="shared" si="1"/>
        <v>50</v>
      </c>
      <c r="U18">
        <f t="shared" si="2"/>
        <v>70</v>
      </c>
      <c r="V18">
        <f t="shared" si="3"/>
        <v>92.5</v>
      </c>
      <c r="W18">
        <f t="shared" si="4"/>
        <v>50</v>
      </c>
      <c r="X18">
        <f t="shared" si="5"/>
        <v>40.816326530612244</v>
      </c>
      <c r="Y18">
        <f t="shared" si="6"/>
        <v>5</v>
      </c>
      <c r="Z18">
        <f t="shared" si="7"/>
        <v>40</v>
      </c>
      <c r="AA18" s="11">
        <f t="shared" si="8"/>
        <v>359.74489795918367</v>
      </c>
      <c r="AB18" s="11">
        <f t="shared" si="9"/>
        <v>35.974489795918366</v>
      </c>
    </row>
    <row r="19" spans="1:28" x14ac:dyDescent="0.25">
      <c r="A19" s="2" t="s">
        <v>55</v>
      </c>
      <c r="B19" s="2" t="s">
        <v>19</v>
      </c>
      <c r="C19" s="2" t="s">
        <v>58</v>
      </c>
      <c r="D19" s="2">
        <v>342</v>
      </c>
      <c r="E19" s="2" t="s">
        <v>59</v>
      </c>
      <c r="F19" s="3">
        <v>5</v>
      </c>
      <c r="G19" s="4">
        <f>F19/SUMIFS($F:$F,$A:$A,A19,$B:$B,B19)</f>
        <v>0.05</v>
      </c>
      <c r="H19" s="3" t="b">
        <v>1</v>
      </c>
      <c r="I19" s="3">
        <v>0.6</v>
      </c>
      <c r="J19" s="5">
        <f>IF(H19,Notes!$B$4,1)*I19</f>
        <v>1.533333333333333</v>
      </c>
      <c r="K19" s="3">
        <v>140</v>
      </c>
      <c r="L19" s="3">
        <v>80</v>
      </c>
      <c r="M19" s="3">
        <v>1.5</v>
      </c>
      <c r="N19" s="3">
        <v>5</v>
      </c>
      <c r="O19" s="3">
        <v>70</v>
      </c>
      <c r="P19" s="3">
        <v>120</v>
      </c>
      <c r="Q19" s="6">
        <f>K19/Notes!$B$5</f>
        <v>70</v>
      </c>
      <c r="R19" s="6">
        <f>K19/(Notes!$B$5+Notes!$B$6)</f>
        <v>11.666666666666666</v>
      </c>
      <c r="S19">
        <f t="shared" si="0"/>
        <v>80</v>
      </c>
      <c r="T19">
        <f t="shared" si="1"/>
        <v>200</v>
      </c>
      <c r="U19">
        <f t="shared" si="2"/>
        <v>60</v>
      </c>
      <c r="V19">
        <f t="shared" si="3"/>
        <v>110</v>
      </c>
      <c r="W19">
        <f t="shared" si="4"/>
        <v>66.666666666666671</v>
      </c>
      <c r="X19">
        <f t="shared" si="5"/>
        <v>80</v>
      </c>
      <c r="Y19">
        <f t="shared" si="6"/>
        <v>35</v>
      </c>
      <c r="Z19">
        <f t="shared" si="7"/>
        <v>60</v>
      </c>
      <c r="AA19" s="11">
        <f t="shared" si="8"/>
        <v>691.66666666666663</v>
      </c>
      <c r="AB19" s="11">
        <f t="shared" si="9"/>
        <v>69.166666666666657</v>
      </c>
    </row>
    <row r="20" spans="1:28" x14ac:dyDescent="0.25">
      <c r="A20" s="2" t="s">
        <v>55</v>
      </c>
      <c r="B20" s="2" t="s">
        <v>19</v>
      </c>
      <c r="C20" s="2" t="s">
        <v>60</v>
      </c>
      <c r="D20" s="2">
        <v>298</v>
      </c>
      <c r="E20" s="2" t="s">
        <v>61</v>
      </c>
      <c r="F20" s="3">
        <v>33</v>
      </c>
      <c r="G20" s="4">
        <f>F20/SUMIFS($F:$F,$A:$A,A20,$B:$B,B20)</f>
        <v>0.33</v>
      </c>
      <c r="H20" s="3" t="b">
        <v>0</v>
      </c>
      <c r="I20" s="3">
        <v>0.5</v>
      </c>
      <c r="J20" s="5">
        <f>IF(H20,Notes!$B$4,1)*I20</f>
        <v>0.5</v>
      </c>
      <c r="K20" s="3">
        <v>50</v>
      </c>
      <c r="L20" s="3">
        <v>150</v>
      </c>
      <c r="M20" s="3">
        <v>1.5</v>
      </c>
      <c r="N20" s="3">
        <v>7.5</v>
      </c>
      <c r="O20" s="3">
        <v>0</v>
      </c>
      <c r="P20" s="3">
        <v>40</v>
      </c>
      <c r="Q20" s="6">
        <f>K20/Notes!$B$5</f>
        <v>25</v>
      </c>
      <c r="R20" s="6">
        <f>K20/(Notes!$B$5+Notes!$B$6)</f>
        <v>4.166666666666667</v>
      </c>
      <c r="S20">
        <f t="shared" si="0"/>
        <v>12.121212121212121</v>
      </c>
      <c r="T20">
        <f t="shared" si="1"/>
        <v>50</v>
      </c>
      <c r="U20">
        <f t="shared" si="2"/>
        <v>50</v>
      </c>
      <c r="V20">
        <f t="shared" si="3"/>
        <v>75</v>
      </c>
      <c r="W20">
        <f t="shared" si="4"/>
        <v>66.666666666666671</v>
      </c>
      <c r="X20">
        <f t="shared" si="5"/>
        <v>35.555555555555557</v>
      </c>
      <c r="Y20">
        <f t="shared" si="6"/>
        <v>0</v>
      </c>
      <c r="Z20">
        <f t="shared" si="7"/>
        <v>20</v>
      </c>
      <c r="AA20" s="11">
        <f t="shared" si="8"/>
        <v>309.34343434343435</v>
      </c>
      <c r="AB20" s="11">
        <f t="shared" si="9"/>
        <v>30.934343434343436</v>
      </c>
    </row>
    <row r="21" spans="1:28" x14ac:dyDescent="0.25">
      <c r="A21" s="2" t="s">
        <v>55</v>
      </c>
      <c r="B21" s="2" t="s">
        <v>19</v>
      </c>
      <c r="C21" s="2" t="s">
        <v>62</v>
      </c>
      <c r="D21" s="2">
        <v>183</v>
      </c>
      <c r="E21" s="2" t="s">
        <v>63</v>
      </c>
      <c r="F21" s="3">
        <v>22</v>
      </c>
      <c r="G21" s="4">
        <f>F21/SUMIFS($F:$F,$A:$A,A21,$B:$B,B21)</f>
        <v>0.22</v>
      </c>
      <c r="H21" s="3" t="b">
        <v>0</v>
      </c>
      <c r="I21" s="3">
        <v>0.6</v>
      </c>
      <c r="J21" s="5">
        <f>IF(H21,Notes!$B$4,1)*I21</f>
        <v>0.6</v>
      </c>
      <c r="K21" s="3">
        <v>75</v>
      </c>
      <c r="L21" s="3">
        <v>110</v>
      </c>
      <c r="M21" s="3">
        <v>2</v>
      </c>
      <c r="N21" s="3">
        <v>7.5</v>
      </c>
      <c r="O21" s="3">
        <v>0</v>
      </c>
      <c r="P21" s="3">
        <v>60</v>
      </c>
      <c r="Q21" s="6">
        <f>K21/Notes!$B$5</f>
        <v>37.5</v>
      </c>
      <c r="R21" s="6">
        <f>K21/(Notes!$B$5+Notes!$B$6)</f>
        <v>6.25</v>
      </c>
      <c r="S21">
        <f t="shared" si="0"/>
        <v>18.181818181818183</v>
      </c>
      <c r="T21">
        <f t="shared" si="1"/>
        <v>50</v>
      </c>
      <c r="U21">
        <f t="shared" si="2"/>
        <v>60</v>
      </c>
      <c r="V21">
        <f t="shared" si="3"/>
        <v>95</v>
      </c>
      <c r="W21">
        <f t="shared" si="4"/>
        <v>50</v>
      </c>
      <c r="X21">
        <f t="shared" si="5"/>
        <v>35.555555555555557</v>
      </c>
      <c r="Y21">
        <f t="shared" si="6"/>
        <v>0</v>
      </c>
      <c r="Z21">
        <f t="shared" si="7"/>
        <v>30</v>
      </c>
      <c r="AA21" s="11">
        <f t="shared" si="8"/>
        <v>338.73737373737373</v>
      </c>
      <c r="AB21" s="11">
        <f t="shared" si="9"/>
        <v>33.87373737373737</v>
      </c>
    </row>
    <row r="22" spans="1:28" x14ac:dyDescent="0.25">
      <c r="A22" s="2" t="s">
        <v>55</v>
      </c>
      <c r="B22" s="2" t="s">
        <v>19</v>
      </c>
      <c r="C22" s="2" t="s">
        <v>64</v>
      </c>
      <c r="D22" s="2">
        <v>184</v>
      </c>
      <c r="E22" s="2" t="s">
        <v>65</v>
      </c>
      <c r="F22" s="3">
        <v>5</v>
      </c>
      <c r="G22" s="4">
        <f>F22/SUMIFS($F:$F,$A:$A,A22,$B:$B,B22)</f>
        <v>0.05</v>
      </c>
      <c r="H22" s="3" t="b">
        <v>1</v>
      </c>
      <c r="I22" s="3">
        <v>0.3</v>
      </c>
      <c r="J22" s="5">
        <f>IF(H22,Notes!$B$4,1)*I22</f>
        <v>0.7666666666666665</v>
      </c>
      <c r="K22" s="3">
        <v>160</v>
      </c>
      <c r="L22" s="3">
        <v>90</v>
      </c>
      <c r="M22" s="3">
        <v>3</v>
      </c>
      <c r="N22" s="3">
        <v>5</v>
      </c>
      <c r="O22" s="3">
        <v>50</v>
      </c>
      <c r="P22" s="3">
        <v>90</v>
      </c>
      <c r="Q22" s="6">
        <f>K22/Notes!$B$5</f>
        <v>80</v>
      </c>
      <c r="R22" s="6">
        <f>K22/(Notes!$B$5+Notes!$B$6)</f>
        <v>13.333333333333334</v>
      </c>
      <c r="S22">
        <f t="shared" si="0"/>
        <v>80</v>
      </c>
      <c r="T22">
        <f t="shared" si="1"/>
        <v>200</v>
      </c>
      <c r="U22">
        <f t="shared" si="2"/>
        <v>30</v>
      </c>
      <c r="V22">
        <f t="shared" si="3"/>
        <v>105</v>
      </c>
      <c r="W22">
        <f t="shared" si="4"/>
        <v>33.333333333333336</v>
      </c>
      <c r="X22">
        <f t="shared" si="5"/>
        <v>80</v>
      </c>
      <c r="Y22">
        <f t="shared" si="6"/>
        <v>25</v>
      </c>
      <c r="Z22">
        <f t="shared" si="7"/>
        <v>45</v>
      </c>
      <c r="AA22" s="11">
        <f t="shared" si="8"/>
        <v>598.33333333333326</v>
      </c>
      <c r="AB22" s="11">
        <f t="shared" si="9"/>
        <v>59.833333333333329</v>
      </c>
    </row>
    <row r="23" spans="1:28" x14ac:dyDescent="0.25">
      <c r="A23" s="2" t="s">
        <v>55</v>
      </c>
      <c r="B23" s="2" t="s">
        <v>28</v>
      </c>
      <c r="C23" s="2" t="s">
        <v>66</v>
      </c>
      <c r="D23" s="2">
        <v>550</v>
      </c>
      <c r="E23" s="2" t="s">
        <v>67</v>
      </c>
      <c r="F23" s="3">
        <v>29</v>
      </c>
      <c r="G23" s="4">
        <f>F23/SUMIFS($F:$F,$A:$A,A23,$B:$B,B23)</f>
        <v>0.28999999999999998</v>
      </c>
      <c r="H23" s="3" t="b">
        <v>0</v>
      </c>
      <c r="I23" s="3">
        <v>0.9</v>
      </c>
      <c r="J23" s="5">
        <f>IF(H23,Notes!$B$4,1)*I23</f>
        <v>0.9</v>
      </c>
      <c r="K23" s="3">
        <v>90</v>
      </c>
      <c r="L23" s="3">
        <v>90</v>
      </c>
      <c r="M23" s="3">
        <v>1.5</v>
      </c>
      <c r="N23" s="3">
        <v>6</v>
      </c>
      <c r="O23" s="3">
        <v>25</v>
      </c>
      <c r="P23" s="3">
        <v>130</v>
      </c>
      <c r="Q23" s="6">
        <f>K23/Notes!$B$5</f>
        <v>45</v>
      </c>
      <c r="R23" s="6">
        <f>K23/(Notes!$B$5+Notes!$B$6)</f>
        <v>7.5</v>
      </c>
      <c r="S23">
        <f t="shared" si="0"/>
        <v>13.793103448275861</v>
      </c>
      <c r="T23">
        <f t="shared" si="1"/>
        <v>50</v>
      </c>
      <c r="U23">
        <f t="shared" si="2"/>
        <v>90</v>
      </c>
      <c r="V23">
        <f t="shared" si="3"/>
        <v>105</v>
      </c>
      <c r="W23">
        <f t="shared" si="4"/>
        <v>66.666666666666671</v>
      </c>
      <c r="X23">
        <f t="shared" si="5"/>
        <v>55.555555555555557</v>
      </c>
      <c r="Y23">
        <f t="shared" si="6"/>
        <v>12.5</v>
      </c>
      <c r="Z23">
        <f t="shared" si="7"/>
        <v>65</v>
      </c>
      <c r="AA23" s="11">
        <f t="shared" si="8"/>
        <v>458.5153256704981</v>
      </c>
      <c r="AB23" s="11">
        <f t="shared" si="9"/>
        <v>45.851532567049809</v>
      </c>
    </row>
    <row r="24" spans="1:28" x14ac:dyDescent="0.25">
      <c r="A24" s="2" t="s">
        <v>55</v>
      </c>
      <c r="B24" s="2" t="s">
        <v>28</v>
      </c>
      <c r="C24" s="2" t="s">
        <v>68</v>
      </c>
      <c r="D24" s="2">
        <v>418</v>
      </c>
      <c r="E24" s="2" t="s">
        <v>69</v>
      </c>
      <c r="F24" s="3">
        <v>30</v>
      </c>
      <c r="G24" s="4">
        <f>F24/SUMIFS($F:$F,$A:$A,A24,$B:$B,B24)</f>
        <v>0.3</v>
      </c>
      <c r="H24" s="3" t="b">
        <v>0</v>
      </c>
      <c r="I24" s="3">
        <v>0.8</v>
      </c>
      <c r="J24" s="5">
        <f>IF(H24,Notes!$B$4,1)*I24</f>
        <v>0.8</v>
      </c>
      <c r="K24" s="3">
        <v>90</v>
      </c>
      <c r="L24" s="3">
        <v>120</v>
      </c>
      <c r="M24" s="3">
        <v>1.5</v>
      </c>
      <c r="N24" s="3">
        <v>7</v>
      </c>
      <c r="O24" s="3">
        <v>25</v>
      </c>
      <c r="P24" s="3">
        <v>140</v>
      </c>
      <c r="Q24" s="6">
        <f>K24/Notes!$B$5</f>
        <v>45</v>
      </c>
      <c r="R24" s="6">
        <f>K24/(Notes!$B$5+Notes!$B$6)</f>
        <v>7.5</v>
      </c>
      <c r="S24">
        <f t="shared" si="0"/>
        <v>13.333333333333334</v>
      </c>
      <c r="T24">
        <f t="shared" si="1"/>
        <v>50</v>
      </c>
      <c r="U24">
        <f t="shared" si="2"/>
        <v>80</v>
      </c>
      <c r="V24">
        <f t="shared" si="3"/>
        <v>90</v>
      </c>
      <c r="W24">
        <f t="shared" si="4"/>
        <v>66.666666666666671</v>
      </c>
      <c r="X24">
        <f t="shared" si="5"/>
        <v>40.816326530612244</v>
      </c>
      <c r="Y24">
        <f t="shared" si="6"/>
        <v>12.5</v>
      </c>
      <c r="Z24">
        <f t="shared" si="7"/>
        <v>70</v>
      </c>
      <c r="AA24" s="11">
        <f t="shared" si="8"/>
        <v>423.31632653061223</v>
      </c>
      <c r="AB24" s="11">
        <f t="shared" si="9"/>
        <v>42.33163265306122</v>
      </c>
    </row>
    <row r="25" spans="1:28" x14ac:dyDescent="0.25">
      <c r="A25" s="2" t="s">
        <v>55</v>
      </c>
      <c r="B25" s="2" t="s">
        <v>28</v>
      </c>
      <c r="C25" s="2" t="s">
        <v>70</v>
      </c>
      <c r="D25" s="2">
        <v>419</v>
      </c>
      <c r="E25" s="2" t="s">
        <v>71</v>
      </c>
      <c r="F25" s="3">
        <v>5</v>
      </c>
      <c r="G25" s="4">
        <f>F25/SUMIFS($F:$F,$A:$A,A25,$B:$B,B25)</f>
        <v>0.05</v>
      </c>
      <c r="H25" s="3" t="b">
        <v>1</v>
      </c>
      <c r="I25" s="3">
        <v>0.8</v>
      </c>
      <c r="J25" s="5">
        <f>IF(H25,Notes!$B$4,1)*I25</f>
        <v>2.0444444444444438</v>
      </c>
      <c r="K25" s="3">
        <v>120</v>
      </c>
      <c r="L25" s="3">
        <v>90</v>
      </c>
      <c r="M25" s="3">
        <v>1.5</v>
      </c>
      <c r="N25" s="3">
        <v>5</v>
      </c>
      <c r="O25" s="3">
        <v>50</v>
      </c>
      <c r="P25" s="3">
        <v>160</v>
      </c>
      <c r="Q25" s="6">
        <f>K25/Notes!$B$5</f>
        <v>60</v>
      </c>
      <c r="R25" s="6">
        <f>K25/(Notes!$B$5+Notes!$B$6)</f>
        <v>10</v>
      </c>
      <c r="S25">
        <f t="shared" si="0"/>
        <v>80</v>
      </c>
      <c r="T25">
        <f t="shared" si="1"/>
        <v>200</v>
      </c>
      <c r="U25">
        <f t="shared" si="2"/>
        <v>80</v>
      </c>
      <c r="V25">
        <f t="shared" si="3"/>
        <v>105</v>
      </c>
      <c r="W25">
        <f t="shared" si="4"/>
        <v>66.666666666666671</v>
      </c>
      <c r="X25">
        <f t="shared" si="5"/>
        <v>80</v>
      </c>
      <c r="Y25">
        <f t="shared" si="6"/>
        <v>25</v>
      </c>
      <c r="Z25">
        <f t="shared" si="7"/>
        <v>80</v>
      </c>
      <c r="AA25" s="11">
        <f t="shared" si="8"/>
        <v>716.66666666666663</v>
      </c>
      <c r="AB25" s="11">
        <f t="shared" si="9"/>
        <v>71.666666666666657</v>
      </c>
    </row>
    <row r="26" spans="1:28" x14ac:dyDescent="0.25">
      <c r="A26" s="2" t="s">
        <v>55</v>
      </c>
      <c r="B26" s="2" t="s">
        <v>28</v>
      </c>
      <c r="C26" s="2" t="s">
        <v>72</v>
      </c>
      <c r="D26" s="2">
        <v>129</v>
      </c>
      <c r="E26" s="2" t="s">
        <v>73</v>
      </c>
      <c r="F26" s="3">
        <v>35</v>
      </c>
      <c r="G26" s="4">
        <f>F26/SUMIFS($F:$F,$A:$A,A26,$B:$B,B26)</f>
        <v>0.35</v>
      </c>
      <c r="H26" s="3" t="b">
        <v>0</v>
      </c>
      <c r="I26" s="3">
        <v>0.8</v>
      </c>
      <c r="J26" s="5">
        <f>IF(H26,Notes!$B$4,1)*I26</f>
        <v>0.8</v>
      </c>
      <c r="K26" s="3">
        <v>50</v>
      </c>
      <c r="L26" s="3">
        <v>200</v>
      </c>
      <c r="M26" s="3">
        <v>3</v>
      </c>
      <c r="N26" s="3">
        <v>8</v>
      </c>
      <c r="O26" s="3">
        <v>0</v>
      </c>
      <c r="P26" s="3">
        <v>40</v>
      </c>
      <c r="Q26" s="6">
        <f>K26/Notes!$B$5</f>
        <v>25</v>
      </c>
      <c r="R26" s="6">
        <f>K26/(Notes!$B$5+Notes!$B$6)</f>
        <v>4.166666666666667</v>
      </c>
      <c r="S26">
        <f t="shared" si="0"/>
        <v>11.428571428571429</v>
      </c>
      <c r="T26">
        <f t="shared" si="1"/>
        <v>50</v>
      </c>
      <c r="U26">
        <f t="shared" si="2"/>
        <v>80</v>
      </c>
      <c r="V26">
        <f t="shared" si="3"/>
        <v>50</v>
      </c>
      <c r="W26">
        <f t="shared" si="4"/>
        <v>33.333333333333336</v>
      </c>
      <c r="X26">
        <f t="shared" si="5"/>
        <v>31.25</v>
      </c>
      <c r="Y26">
        <f t="shared" si="6"/>
        <v>0</v>
      </c>
      <c r="Z26">
        <f t="shared" si="7"/>
        <v>20</v>
      </c>
      <c r="AA26" s="11">
        <f t="shared" si="8"/>
        <v>276.01190476190482</v>
      </c>
      <c r="AB26" s="11">
        <f t="shared" si="9"/>
        <v>27.601190476190482</v>
      </c>
    </row>
    <row r="27" spans="1:28" x14ac:dyDescent="0.25">
      <c r="A27" s="2" t="s">
        <v>55</v>
      </c>
      <c r="B27" s="2" t="s">
        <v>28</v>
      </c>
      <c r="C27" s="2" t="s">
        <v>74</v>
      </c>
      <c r="D27" s="2">
        <v>130</v>
      </c>
      <c r="E27" s="2" t="s">
        <v>75</v>
      </c>
      <c r="F27" s="3">
        <v>1</v>
      </c>
      <c r="G27" s="4">
        <f>F27/SUMIFS($F:$F,$A:$A,A27,$B:$B,B27)</f>
        <v>0.01</v>
      </c>
      <c r="H27" s="3" t="b">
        <v>1</v>
      </c>
      <c r="I27" s="3">
        <v>1.2</v>
      </c>
      <c r="J27" s="5">
        <f>IF(H27,Notes!$B$4,1)*I27</f>
        <v>3.066666666666666</v>
      </c>
      <c r="K27" s="3">
        <v>150</v>
      </c>
      <c r="L27" s="3">
        <v>90</v>
      </c>
      <c r="M27" s="3">
        <v>1.5</v>
      </c>
      <c r="N27" s="3">
        <v>5</v>
      </c>
      <c r="O27" s="3">
        <v>75</v>
      </c>
      <c r="P27" s="3">
        <v>150</v>
      </c>
      <c r="Q27" s="6">
        <f>K27/Notes!$B$5</f>
        <v>75</v>
      </c>
      <c r="R27" s="6">
        <f>K27/(Notes!$B$5+Notes!$B$6)</f>
        <v>12.5</v>
      </c>
      <c r="S27">
        <f t="shared" si="0"/>
        <v>400</v>
      </c>
      <c r="T27">
        <f t="shared" si="1"/>
        <v>200</v>
      </c>
      <c r="U27">
        <f t="shared" si="2"/>
        <v>120</v>
      </c>
      <c r="V27">
        <f t="shared" si="3"/>
        <v>105</v>
      </c>
      <c r="W27">
        <f t="shared" si="4"/>
        <v>66.666666666666671</v>
      </c>
      <c r="X27">
        <f t="shared" si="5"/>
        <v>80</v>
      </c>
      <c r="Y27">
        <f t="shared" si="6"/>
        <v>37.5</v>
      </c>
      <c r="Z27">
        <f t="shared" si="7"/>
        <v>75</v>
      </c>
      <c r="AA27" s="11">
        <f t="shared" si="8"/>
        <v>1084.1666666666665</v>
      </c>
      <c r="AB27" s="11">
        <f t="shared" si="9"/>
        <v>108.41666666666666</v>
      </c>
    </row>
    <row r="28" spans="1:28" x14ac:dyDescent="0.25">
      <c r="A28" s="2" t="s">
        <v>55</v>
      </c>
      <c r="B28" s="2" t="s">
        <v>37</v>
      </c>
      <c r="C28" s="2" t="s">
        <v>76</v>
      </c>
      <c r="D28" s="2">
        <v>79</v>
      </c>
      <c r="E28" s="2" t="s">
        <v>77</v>
      </c>
      <c r="F28" s="3">
        <v>45</v>
      </c>
      <c r="G28" s="4">
        <f>F28/SUMIFS($F:$F,$A:$A,A28,$B:$B,B28)</f>
        <v>0.45</v>
      </c>
      <c r="H28" s="3" t="b">
        <v>0</v>
      </c>
      <c r="I28" s="3">
        <v>1.2</v>
      </c>
      <c r="J28" s="5">
        <f>IF(H28,Notes!$B$4,1)*I28</f>
        <v>1.2</v>
      </c>
      <c r="K28" s="3">
        <v>140</v>
      </c>
      <c r="L28" s="3">
        <v>160</v>
      </c>
      <c r="M28" s="3">
        <v>3</v>
      </c>
      <c r="N28" s="3">
        <v>5</v>
      </c>
      <c r="O28" s="3">
        <v>0</v>
      </c>
      <c r="P28" s="3">
        <v>20</v>
      </c>
      <c r="Q28" s="6">
        <f>K28/Notes!$B$5</f>
        <v>70</v>
      </c>
      <c r="R28" s="6">
        <f>K28/(Notes!$B$5+Notes!$B$6)</f>
        <v>11.666666666666666</v>
      </c>
      <c r="S28">
        <f t="shared" si="0"/>
        <v>8.8888888888888893</v>
      </c>
      <c r="T28">
        <f t="shared" si="1"/>
        <v>50</v>
      </c>
      <c r="U28">
        <f t="shared" si="2"/>
        <v>120</v>
      </c>
      <c r="V28">
        <f t="shared" si="3"/>
        <v>70</v>
      </c>
      <c r="W28">
        <f t="shared" si="4"/>
        <v>33.333333333333336</v>
      </c>
      <c r="X28">
        <f t="shared" si="5"/>
        <v>80</v>
      </c>
      <c r="Y28">
        <f t="shared" si="6"/>
        <v>0</v>
      </c>
      <c r="Z28">
        <f t="shared" si="7"/>
        <v>10</v>
      </c>
      <c r="AA28" s="11">
        <f t="shared" si="8"/>
        <v>372.22222222222223</v>
      </c>
      <c r="AB28" s="11">
        <f t="shared" si="9"/>
        <v>37.222222222222221</v>
      </c>
    </row>
    <row r="29" spans="1:28" x14ac:dyDescent="0.25">
      <c r="A29" s="2" t="s">
        <v>55</v>
      </c>
      <c r="B29" s="2" t="s">
        <v>37</v>
      </c>
      <c r="C29" s="2" t="s">
        <v>78</v>
      </c>
      <c r="D29" s="2">
        <v>80</v>
      </c>
      <c r="E29" s="2" t="s">
        <v>79</v>
      </c>
      <c r="F29" s="3">
        <v>5</v>
      </c>
      <c r="G29" s="4">
        <f>F29/SUMIFS($F:$F,$A:$A,A29,$B:$B,B29)</f>
        <v>0.05</v>
      </c>
      <c r="H29" s="3" t="b">
        <v>1</v>
      </c>
      <c r="I29" s="3">
        <v>0.8</v>
      </c>
      <c r="J29" s="5">
        <f>IF(H29,Notes!$B$4,1)*I29</f>
        <v>2.0444444444444438</v>
      </c>
      <c r="K29" s="3">
        <v>175</v>
      </c>
      <c r="L29" s="3">
        <v>120</v>
      </c>
      <c r="M29" s="3">
        <v>2.5</v>
      </c>
      <c r="N29" s="3">
        <v>4.5</v>
      </c>
      <c r="O29" s="3">
        <v>10</v>
      </c>
      <c r="P29" s="3">
        <v>40</v>
      </c>
      <c r="Q29" s="6">
        <f>K29/Notes!$B$5</f>
        <v>87.5</v>
      </c>
      <c r="R29" s="6">
        <f>K29/(Notes!$B$5+Notes!$B$6)</f>
        <v>14.583333333333334</v>
      </c>
      <c r="S29">
        <f t="shared" si="0"/>
        <v>80</v>
      </c>
      <c r="T29">
        <f t="shared" si="1"/>
        <v>200</v>
      </c>
      <c r="U29">
        <f t="shared" si="2"/>
        <v>80</v>
      </c>
      <c r="V29">
        <f t="shared" si="3"/>
        <v>90</v>
      </c>
      <c r="W29">
        <f t="shared" si="4"/>
        <v>40</v>
      </c>
      <c r="X29">
        <f t="shared" si="5"/>
        <v>98.76543209876543</v>
      </c>
      <c r="Y29">
        <f t="shared" si="6"/>
        <v>5</v>
      </c>
      <c r="Z29">
        <f t="shared" si="7"/>
        <v>20</v>
      </c>
      <c r="AA29" s="11">
        <f t="shared" si="8"/>
        <v>613.76543209876547</v>
      </c>
      <c r="AB29" s="11">
        <f t="shared" si="9"/>
        <v>61.376543209876544</v>
      </c>
    </row>
    <row r="30" spans="1:28" x14ac:dyDescent="0.25">
      <c r="A30" s="2" t="s">
        <v>55</v>
      </c>
      <c r="B30" s="2" t="s">
        <v>37</v>
      </c>
      <c r="C30" s="2" t="s">
        <v>80</v>
      </c>
      <c r="D30" s="2">
        <v>199</v>
      </c>
      <c r="E30" s="2" t="s">
        <v>81</v>
      </c>
      <c r="F30" s="3">
        <v>5</v>
      </c>
      <c r="G30" s="4">
        <f>F30/SUMIFS($F:$F,$A:$A,A30,$B:$B,B30)</f>
        <v>0.05</v>
      </c>
      <c r="H30" s="3" t="b">
        <v>1</v>
      </c>
      <c r="I30" s="3">
        <v>0.7</v>
      </c>
      <c r="J30" s="5">
        <f>IF(H30,Notes!$B$4,1)*I30</f>
        <v>1.7888888888888883</v>
      </c>
      <c r="K30" s="3">
        <v>150</v>
      </c>
      <c r="L30" s="3">
        <v>90</v>
      </c>
      <c r="M30" s="3">
        <v>2.5</v>
      </c>
      <c r="N30" s="3">
        <v>4.5</v>
      </c>
      <c r="O30" s="3">
        <v>10</v>
      </c>
      <c r="P30" s="3">
        <v>40</v>
      </c>
      <c r="Q30" s="6">
        <f>K30/Notes!$B$5</f>
        <v>75</v>
      </c>
      <c r="R30" s="6">
        <f>K30/(Notes!$B$5+Notes!$B$6)</f>
        <v>12.5</v>
      </c>
      <c r="S30">
        <f t="shared" si="0"/>
        <v>80</v>
      </c>
      <c r="T30">
        <f t="shared" si="1"/>
        <v>200</v>
      </c>
      <c r="U30">
        <f t="shared" si="2"/>
        <v>70</v>
      </c>
      <c r="V30">
        <f t="shared" si="3"/>
        <v>105</v>
      </c>
      <c r="W30">
        <f t="shared" si="4"/>
        <v>40</v>
      </c>
      <c r="X30">
        <f t="shared" si="5"/>
        <v>98.76543209876543</v>
      </c>
      <c r="Y30">
        <f t="shared" si="6"/>
        <v>5</v>
      </c>
      <c r="Z30">
        <f t="shared" si="7"/>
        <v>20</v>
      </c>
      <c r="AA30" s="11">
        <f t="shared" si="8"/>
        <v>618.76543209876547</v>
      </c>
      <c r="AB30" s="11">
        <f t="shared" si="9"/>
        <v>61.876543209876544</v>
      </c>
    </row>
    <row r="31" spans="1:28" x14ac:dyDescent="0.25">
      <c r="A31" s="2" t="s">
        <v>55</v>
      </c>
      <c r="B31" s="2" t="s">
        <v>37</v>
      </c>
      <c r="C31" s="2" t="s">
        <v>82</v>
      </c>
      <c r="D31" s="2">
        <v>550</v>
      </c>
      <c r="E31" s="2" t="s">
        <v>83</v>
      </c>
      <c r="F31" s="3">
        <v>45</v>
      </c>
      <c r="G31" s="4">
        <f>F31/SUMIFS($F:$F,$A:$A,A31,$B:$B,B31)</f>
        <v>0.45</v>
      </c>
      <c r="H31" s="3" t="b">
        <v>0</v>
      </c>
      <c r="I31" s="3">
        <v>0.9</v>
      </c>
      <c r="J31" s="5">
        <f>IF(H31,Notes!$B$4,1)*I31</f>
        <v>0.9</v>
      </c>
      <c r="K31" s="3">
        <v>90</v>
      </c>
      <c r="L31" s="3">
        <v>90</v>
      </c>
      <c r="M31" s="3">
        <v>1.5</v>
      </c>
      <c r="N31" s="3">
        <v>6</v>
      </c>
      <c r="O31" s="3">
        <v>25</v>
      </c>
      <c r="P31" s="3">
        <v>130</v>
      </c>
      <c r="Q31" s="6">
        <f>K31/Notes!$B$5</f>
        <v>45</v>
      </c>
      <c r="R31" s="6">
        <f>K31/(Notes!$B$5+Notes!$B$6)</f>
        <v>7.5</v>
      </c>
      <c r="S31">
        <f t="shared" si="0"/>
        <v>8.8888888888888893</v>
      </c>
      <c r="T31">
        <f t="shared" si="1"/>
        <v>50</v>
      </c>
      <c r="U31">
        <f t="shared" si="2"/>
        <v>90</v>
      </c>
      <c r="V31">
        <f t="shared" si="3"/>
        <v>105</v>
      </c>
      <c r="W31">
        <f t="shared" si="4"/>
        <v>66.666666666666671</v>
      </c>
      <c r="X31">
        <f t="shared" si="5"/>
        <v>55.555555555555557</v>
      </c>
      <c r="Y31">
        <f t="shared" si="6"/>
        <v>12.5</v>
      </c>
      <c r="Z31">
        <f t="shared" si="7"/>
        <v>65</v>
      </c>
      <c r="AA31" s="11">
        <f t="shared" si="8"/>
        <v>453.61111111111109</v>
      </c>
      <c r="AB31" s="11">
        <f t="shared" si="9"/>
        <v>45.361111111111107</v>
      </c>
    </row>
    <row r="32" spans="1:28" x14ac:dyDescent="0.25">
      <c r="A32" s="2" t="s">
        <v>55</v>
      </c>
      <c r="B32" s="2" t="s">
        <v>46</v>
      </c>
      <c r="C32" s="2" t="s">
        <v>84</v>
      </c>
      <c r="D32" s="2">
        <v>602</v>
      </c>
      <c r="E32" s="2" t="s">
        <v>85</v>
      </c>
      <c r="F32" s="3">
        <v>45</v>
      </c>
      <c r="G32" s="4">
        <f>F32/SUMIFS($F:$F,$A:$A,A32,$B:$B,B32)</f>
        <v>0.45</v>
      </c>
      <c r="H32" s="3" t="b">
        <v>0</v>
      </c>
      <c r="I32" s="3">
        <v>0.5</v>
      </c>
      <c r="J32" s="5">
        <f>IF(H32,Notes!$B$4,1)*I32</f>
        <v>0.5</v>
      </c>
      <c r="K32" s="3">
        <v>75</v>
      </c>
      <c r="L32" s="3">
        <v>120</v>
      </c>
      <c r="M32" s="3">
        <v>2</v>
      </c>
      <c r="N32" s="3">
        <v>7.5</v>
      </c>
      <c r="O32" s="3">
        <v>10</v>
      </c>
      <c r="P32" s="3">
        <v>50</v>
      </c>
      <c r="Q32" s="6">
        <f>K32/Notes!$B$5</f>
        <v>37.5</v>
      </c>
      <c r="R32" s="6">
        <f>K32/(Notes!$B$5+Notes!$B$6)</f>
        <v>6.25</v>
      </c>
      <c r="S32">
        <f t="shared" si="0"/>
        <v>8.8888888888888893</v>
      </c>
      <c r="T32">
        <f t="shared" si="1"/>
        <v>50</v>
      </c>
      <c r="U32">
        <f t="shared" si="2"/>
        <v>50</v>
      </c>
      <c r="V32">
        <f t="shared" si="3"/>
        <v>90</v>
      </c>
      <c r="W32">
        <f t="shared" si="4"/>
        <v>50</v>
      </c>
      <c r="X32">
        <f t="shared" si="5"/>
        <v>35.555555555555557</v>
      </c>
      <c r="Y32">
        <f t="shared" si="6"/>
        <v>5</v>
      </c>
      <c r="Z32">
        <f t="shared" si="7"/>
        <v>25</v>
      </c>
      <c r="AA32" s="11">
        <f t="shared" si="8"/>
        <v>314.44444444444446</v>
      </c>
      <c r="AB32" s="11">
        <f t="shared" si="9"/>
        <v>31.444444444444446</v>
      </c>
    </row>
    <row r="33" spans="1:28" x14ac:dyDescent="0.25">
      <c r="A33" s="2" t="s">
        <v>55</v>
      </c>
      <c r="B33" s="2" t="s">
        <v>46</v>
      </c>
      <c r="C33" s="2" t="s">
        <v>86</v>
      </c>
      <c r="D33" s="2">
        <v>603</v>
      </c>
      <c r="E33" s="2" t="s">
        <v>87</v>
      </c>
      <c r="F33" s="3">
        <v>13</v>
      </c>
      <c r="G33" s="4">
        <f>F33/SUMIFS($F:$F,$A:$A,A33,$B:$B,B33)</f>
        <v>0.13</v>
      </c>
      <c r="H33" s="3" t="b">
        <v>1</v>
      </c>
      <c r="I33" s="3">
        <v>0.7</v>
      </c>
      <c r="J33" s="5">
        <f>IF(H33,Notes!$B$4,1)*I33</f>
        <v>1.7888888888888883</v>
      </c>
      <c r="K33" s="3">
        <v>110</v>
      </c>
      <c r="L33" s="3">
        <v>90</v>
      </c>
      <c r="M33" s="3">
        <v>1.5</v>
      </c>
      <c r="N33" s="3">
        <v>5</v>
      </c>
      <c r="O33" s="3">
        <v>25</v>
      </c>
      <c r="P33" s="3">
        <v>80</v>
      </c>
      <c r="Q33" s="6">
        <f>K33/Notes!$B$5</f>
        <v>55</v>
      </c>
      <c r="R33" s="6">
        <f>K33/(Notes!$B$5+Notes!$B$6)</f>
        <v>9.1666666666666661</v>
      </c>
      <c r="S33">
        <f t="shared" si="0"/>
        <v>30.76923076923077</v>
      </c>
      <c r="T33">
        <f t="shared" si="1"/>
        <v>200</v>
      </c>
      <c r="U33">
        <f t="shared" si="2"/>
        <v>70</v>
      </c>
      <c r="V33">
        <f t="shared" si="3"/>
        <v>105</v>
      </c>
      <c r="W33">
        <f t="shared" si="4"/>
        <v>66.666666666666671</v>
      </c>
      <c r="X33">
        <f t="shared" si="5"/>
        <v>80</v>
      </c>
      <c r="Y33">
        <f t="shared" si="6"/>
        <v>12.5</v>
      </c>
      <c r="Z33">
        <f t="shared" si="7"/>
        <v>40</v>
      </c>
      <c r="AA33" s="11">
        <f t="shared" si="8"/>
        <v>604.93589743589746</v>
      </c>
      <c r="AB33" s="11">
        <f t="shared" si="9"/>
        <v>60.493589743589745</v>
      </c>
    </row>
    <row r="34" spans="1:28" x14ac:dyDescent="0.25">
      <c r="A34" s="2" t="s">
        <v>55</v>
      </c>
      <c r="B34" s="2" t="s">
        <v>46</v>
      </c>
      <c r="C34" s="2" t="s">
        <v>88</v>
      </c>
      <c r="D34" s="2">
        <v>604</v>
      </c>
      <c r="E34" s="2" t="s">
        <v>89</v>
      </c>
      <c r="F34" s="3">
        <v>2</v>
      </c>
      <c r="G34" s="4">
        <f>F34/SUMIFS($F:$F,$A:$A,A34,$B:$B,B34)</f>
        <v>0.02</v>
      </c>
      <c r="H34" s="3" t="b">
        <v>1</v>
      </c>
      <c r="I34" s="3">
        <v>0.9</v>
      </c>
      <c r="J34" s="5">
        <f>IF(H34,Notes!$B$4,1)*I34</f>
        <v>2.2999999999999994</v>
      </c>
      <c r="K34" s="3">
        <v>140</v>
      </c>
      <c r="L34" s="3">
        <v>80</v>
      </c>
      <c r="M34" s="3">
        <v>2.5</v>
      </c>
      <c r="N34" s="3">
        <v>5</v>
      </c>
      <c r="O34" s="3">
        <v>75</v>
      </c>
      <c r="P34" s="3">
        <v>120</v>
      </c>
      <c r="Q34" s="6">
        <f>K34/Notes!$B$5</f>
        <v>70</v>
      </c>
      <c r="R34" s="6">
        <f>K34/(Notes!$B$5+Notes!$B$6)</f>
        <v>11.666666666666666</v>
      </c>
      <c r="S34">
        <f t="shared" si="0"/>
        <v>200</v>
      </c>
      <c r="T34">
        <f t="shared" si="1"/>
        <v>200</v>
      </c>
      <c r="U34">
        <f t="shared" si="2"/>
        <v>90</v>
      </c>
      <c r="V34">
        <f t="shared" si="3"/>
        <v>110</v>
      </c>
      <c r="W34">
        <f t="shared" si="4"/>
        <v>40</v>
      </c>
      <c r="X34">
        <f t="shared" si="5"/>
        <v>80</v>
      </c>
      <c r="Y34">
        <f t="shared" si="6"/>
        <v>37.5</v>
      </c>
      <c r="Z34">
        <f t="shared" si="7"/>
        <v>60</v>
      </c>
      <c r="AA34" s="11">
        <f t="shared" si="8"/>
        <v>817.5</v>
      </c>
      <c r="AB34" s="11">
        <f t="shared" si="9"/>
        <v>81.75</v>
      </c>
    </row>
    <row r="35" spans="1:28" x14ac:dyDescent="0.25">
      <c r="A35" s="2" t="s">
        <v>55</v>
      </c>
      <c r="B35" s="2" t="s">
        <v>46</v>
      </c>
      <c r="C35" s="2" t="s">
        <v>90</v>
      </c>
      <c r="D35" s="2">
        <v>453</v>
      </c>
      <c r="E35" s="2" t="s">
        <v>91</v>
      </c>
      <c r="F35" s="3">
        <v>35</v>
      </c>
      <c r="G35" s="4">
        <f>F35/SUMIFS($F:$F,$A:$A,A35,$B:$B,B35)</f>
        <v>0.35</v>
      </c>
      <c r="H35" s="3" t="b">
        <v>0</v>
      </c>
      <c r="I35" s="3">
        <v>0.7</v>
      </c>
      <c r="J35" s="5">
        <f>IF(H35,Notes!$B$4,1)*I35</f>
        <v>0.7</v>
      </c>
      <c r="K35" s="3">
        <v>90</v>
      </c>
      <c r="L35" s="3">
        <v>100</v>
      </c>
      <c r="M35" s="3">
        <v>2</v>
      </c>
      <c r="N35" s="3">
        <v>7</v>
      </c>
      <c r="O35" s="3">
        <v>25</v>
      </c>
      <c r="P35" s="3">
        <v>90</v>
      </c>
      <c r="Q35" s="6">
        <f>K35/Notes!$B$5</f>
        <v>45</v>
      </c>
      <c r="R35" s="6">
        <f>K35/(Notes!$B$5+Notes!$B$6)</f>
        <v>7.5</v>
      </c>
      <c r="S35">
        <f t="shared" si="0"/>
        <v>11.428571428571429</v>
      </c>
      <c r="T35">
        <f t="shared" si="1"/>
        <v>50</v>
      </c>
      <c r="U35">
        <f t="shared" si="2"/>
        <v>70</v>
      </c>
      <c r="V35">
        <f t="shared" si="3"/>
        <v>100</v>
      </c>
      <c r="W35">
        <f t="shared" si="4"/>
        <v>50</v>
      </c>
      <c r="X35">
        <f t="shared" si="5"/>
        <v>40.816326530612244</v>
      </c>
      <c r="Y35">
        <f t="shared" si="6"/>
        <v>12.5</v>
      </c>
      <c r="Z35">
        <f t="shared" si="7"/>
        <v>45</v>
      </c>
      <c r="AA35" s="11">
        <f t="shared" si="8"/>
        <v>379.74489795918367</v>
      </c>
      <c r="AB35" s="11">
        <f t="shared" si="9"/>
        <v>37.974489795918366</v>
      </c>
    </row>
    <row r="36" spans="1:28" x14ac:dyDescent="0.25">
      <c r="A36" s="2" t="s">
        <v>55</v>
      </c>
      <c r="B36" s="2" t="s">
        <v>46</v>
      </c>
      <c r="C36" s="2" t="s">
        <v>92</v>
      </c>
      <c r="D36" s="2">
        <v>454</v>
      </c>
      <c r="E36" s="2" t="s">
        <v>93</v>
      </c>
      <c r="F36" s="3">
        <v>5</v>
      </c>
      <c r="G36" s="4">
        <f>F36/SUMIFS($F:$F,$A:$A,A36,$B:$B,B36)</f>
        <v>0.05</v>
      </c>
      <c r="H36" s="3" t="b">
        <v>1</v>
      </c>
      <c r="I36" s="3">
        <v>0.6</v>
      </c>
      <c r="J36" s="5">
        <f>IF(H36,Notes!$B$4,1)*I36</f>
        <v>1.533333333333333</v>
      </c>
      <c r="K36" s="3">
        <v>140</v>
      </c>
      <c r="L36" s="3">
        <v>80</v>
      </c>
      <c r="M36" s="3">
        <v>1.5</v>
      </c>
      <c r="N36" s="3">
        <v>5</v>
      </c>
      <c r="O36" s="3">
        <v>70</v>
      </c>
      <c r="P36" s="3">
        <v>120</v>
      </c>
      <c r="Q36" s="6">
        <f>K36/Notes!$B$5</f>
        <v>70</v>
      </c>
      <c r="R36" s="6">
        <f>K36/(Notes!$B$5+Notes!$B$6)</f>
        <v>11.666666666666666</v>
      </c>
      <c r="S36">
        <f t="shared" si="0"/>
        <v>80</v>
      </c>
      <c r="T36">
        <f t="shared" si="1"/>
        <v>200</v>
      </c>
      <c r="U36">
        <f t="shared" si="2"/>
        <v>60</v>
      </c>
      <c r="V36">
        <f t="shared" si="3"/>
        <v>110</v>
      </c>
      <c r="W36">
        <f t="shared" si="4"/>
        <v>66.666666666666671</v>
      </c>
      <c r="X36">
        <f t="shared" si="5"/>
        <v>80</v>
      </c>
      <c r="Y36">
        <f t="shared" si="6"/>
        <v>35</v>
      </c>
      <c r="Z36">
        <f t="shared" si="7"/>
        <v>60</v>
      </c>
      <c r="AA36" s="11">
        <f t="shared" si="8"/>
        <v>691.66666666666663</v>
      </c>
      <c r="AB36" s="11">
        <f t="shared" si="9"/>
        <v>69.166666666666657</v>
      </c>
    </row>
    <row r="37" spans="1:28" x14ac:dyDescent="0.25">
      <c r="A37" s="2" t="s">
        <v>94</v>
      </c>
      <c r="B37" s="2" t="s">
        <v>19</v>
      </c>
      <c r="C37" s="2" t="s">
        <v>95</v>
      </c>
      <c r="D37" s="2">
        <v>60</v>
      </c>
      <c r="E37" s="2" t="s">
        <v>96</v>
      </c>
      <c r="F37" s="3">
        <v>20</v>
      </c>
      <c r="G37" s="4">
        <f>F37/SUMIFS($F:$F,$A:$A,A37,$B:$B,B37)</f>
        <v>0.4</v>
      </c>
      <c r="H37" s="3" t="b">
        <v>0</v>
      </c>
      <c r="I37" s="3">
        <v>0.5</v>
      </c>
      <c r="J37" s="5">
        <f>IF(H37,Notes!$B$4,1)*I37</f>
        <v>0.5</v>
      </c>
      <c r="K37" s="3">
        <v>90</v>
      </c>
      <c r="L37" s="3">
        <v>110</v>
      </c>
      <c r="M37" s="3">
        <v>2</v>
      </c>
      <c r="N37" s="3">
        <v>7.5</v>
      </c>
      <c r="O37" s="3">
        <v>0</v>
      </c>
      <c r="P37" s="3">
        <v>60</v>
      </c>
      <c r="Q37" s="6">
        <f>K37/Notes!$B$5</f>
        <v>45</v>
      </c>
      <c r="R37" s="6">
        <f>K37/(Notes!$B$5+Notes!$B$6)</f>
        <v>7.5</v>
      </c>
      <c r="S37">
        <f t="shared" si="0"/>
        <v>20</v>
      </c>
      <c r="T37">
        <f t="shared" si="1"/>
        <v>50</v>
      </c>
      <c r="U37">
        <f t="shared" si="2"/>
        <v>50</v>
      </c>
      <c r="V37">
        <f t="shared" si="3"/>
        <v>95</v>
      </c>
      <c r="W37">
        <f t="shared" si="4"/>
        <v>50</v>
      </c>
      <c r="X37">
        <f t="shared" si="5"/>
        <v>35.555555555555557</v>
      </c>
      <c r="Y37">
        <f t="shared" si="6"/>
        <v>0</v>
      </c>
      <c r="Z37">
        <f t="shared" si="7"/>
        <v>30</v>
      </c>
      <c r="AA37" s="11">
        <f t="shared" si="8"/>
        <v>330.55555555555554</v>
      </c>
      <c r="AB37" s="11">
        <f t="shared" si="9"/>
        <v>33.055555555555557</v>
      </c>
    </row>
    <row r="38" spans="1:28" x14ac:dyDescent="0.25">
      <c r="A38" s="2" t="s">
        <v>94</v>
      </c>
      <c r="B38" s="2" t="s">
        <v>19</v>
      </c>
      <c r="C38" s="2" t="s">
        <v>97</v>
      </c>
      <c r="D38" s="2">
        <v>61</v>
      </c>
      <c r="E38" s="2" t="s">
        <v>98</v>
      </c>
      <c r="F38" s="3">
        <v>3</v>
      </c>
      <c r="G38" s="4">
        <f>F38/SUMIFS($F:$F,$A:$A,A38,$B:$B,B38)</f>
        <v>0.06</v>
      </c>
      <c r="H38" s="3" t="b">
        <v>0</v>
      </c>
      <c r="I38" s="3">
        <v>0.8</v>
      </c>
      <c r="J38" s="5">
        <f>IF(H38,Notes!$B$4,1)*I38</f>
        <v>0.8</v>
      </c>
      <c r="K38" s="3">
        <v>115</v>
      </c>
      <c r="L38" s="3">
        <v>100</v>
      </c>
      <c r="M38" s="3">
        <v>1.5</v>
      </c>
      <c r="N38" s="3">
        <v>5</v>
      </c>
      <c r="O38" s="3">
        <v>20</v>
      </c>
      <c r="P38" s="3">
        <v>75</v>
      </c>
      <c r="Q38" s="6">
        <f>K38/Notes!$B$5</f>
        <v>57.5</v>
      </c>
      <c r="R38" s="6">
        <f>K38/(Notes!$B$5+Notes!$B$6)</f>
        <v>9.5833333333333339</v>
      </c>
      <c r="S38">
        <f t="shared" si="0"/>
        <v>133.33333333333334</v>
      </c>
      <c r="T38">
        <f t="shared" si="1"/>
        <v>50</v>
      </c>
      <c r="U38">
        <f t="shared" si="2"/>
        <v>80</v>
      </c>
      <c r="V38">
        <f t="shared" si="3"/>
        <v>100</v>
      </c>
      <c r="W38">
        <f t="shared" si="4"/>
        <v>66.666666666666671</v>
      </c>
      <c r="X38">
        <f t="shared" si="5"/>
        <v>80</v>
      </c>
      <c r="Y38">
        <f t="shared" si="6"/>
        <v>10</v>
      </c>
      <c r="Z38">
        <f t="shared" si="7"/>
        <v>37.5</v>
      </c>
      <c r="AA38" s="11">
        <f t="shared" si="8"/>
        <v>557.5</v>
      </c>
      <c r="AB38" s="11">
        <f t="shared" si="9"/>
        <v>55.75</v>
      </c>
    </row>
    <row r="39" spans="1:28" x14ac:dyDescent="0.25">
      <c r="A39" s="2" t="s">
        <v>94</v>
      </c>
      <c r="B39" s="2" t="s">
        <v>19</v>
      </c>
      <c r="C39" s="2" t="s">
        <v>99</v>
      </c>
      <c r="D39" s="2">
        <v>62</v>
      </c>
      <c r="E39" s="2" t="s">
        <v>100</v>
      </c>
      <c r="F39" s="3">
        <v>1</v>
      </c>
      <c r="G39" s="4">
        <f>F39/SUMIFS($F:$F,$A:$A,A39,$B:$B,B39)</f>
        <v>0.02</v>
      </c>
      <c r="H39" s="3" t="b">
        <v>1</v>
      </c>
      <c r="I39" s="3">
        <v>0.6</v>
      </c>
      <c r="J39" s="5">
        <f>IF(H39,Notes!$B$4,1)*I39</f>
        <v>1.533333333333333</v>
      </c>
      <c r="K39" s="3">
        <v>130</v>
      </c>
      <c r="L39" s="3">
        <v>90</v>
      </c>
      <c r="M39" s="3">
        <v>1.5</v>
      </c>
      <c r="N39" s="3">
        <v>4</v>
      </c>
      <c r="O39" s="3">
        <v>40</v>
      </c>
      <c r="P39" s="3">
        <v>100</v>
      </c>
      <c r="Q39" s="6">
        <f>K39/Notes!$B$5</f>
        <v>65</v>
      </c>
      <c r="R39" s="6">
        <f>K39/(Notes!$B$5+Notes!$B$6)</f>
        <v>10.833333333333334</v>
      </c>
      <c r="S39">
        <f t="shared" si="0"/>
        <v>400</v>
      </c>
      <c r="T39">
        <f t="shared" si="1"/>
        <v>200</v>
      </c>
      <c r="U39">
        <f t="shared" si="2"/>
        <v>60</v>
      </c>
      <c r="V39">
        <f t="shared" si="3"/>
        <v>105</v>
      </c>
      <c r="W39">
        <f t="shared" si="4"/>
        <v>66.666666666666671</v>
      </c>
      <c r="X39">
        <f t="shared" si="5"/>
        <v>125</v>
      </c>
      <c r="Y39">
        <f t="shared" si="6"/>
        <v>20</v>
      </c>
      <c r="Z39">
        <f t="shared" si="7"/>
        <v>50</v>
      </c>
      <c r="AA39" s="11">
        <f t="shared" si="8"/>
        <v>1026.6666666666665</v>
      </c>
      <c r="AB39" s="11">
        <f t="shared" si="9"/>
        <v>102.66666666666666</v>
      </c>
    </row>
    <row r="40" spans="1:28" x14ac:dyDescent="0.25">
      <c r="A40" s="2" t="s">
        <v>94</v>
      </c>
      <c r="B40" s="2" t="s">
        <v>19</v>
      </c>
      <c r="C40" s="2" t="s">
        <v>101</v>
      </c>
      <c r="D40" s="2">
        <v>186</v>
      </c>
      <c r="E40" s="2" t="s">
        <v>102</v>
      </c>
      <c r="F40" s="3">
        <v>1</v>
      </c>
      <c r="G40" s="4">
        <f>F40/SUMIFS($F:$F,$A:$A,A40,$B:$B,B40)</f>
        <v>0.02</v>
      </c>
      <c r="H40" s="3" t="b">
        <v>1</v>
      </c>
      <c r="I40" s="3">
        <v>0.7</v>
      </c>
      <c r="J40" s="5">
        <f>IF(H40,Notes!$B$4,1)*I40</f>
        <v>1.7888888888888883</v>
      </c>
      <c r="K40" s="3">
        <v>150</v>
      </c>
      <c r="L40" s="3">
        <v>100</v>
      </c>
      <c r="M40" s="3">
        <v>1.5</v>
      </c>
      <c r="N40" s="3">
        <v>4</v>
      </c>
      <c r="O40" s="3">
        <v>50</v>
      </c>
      <c r="P40" s="3">
        <v>120</v>
      </c>
      <c r="Q40" s="6">
        <f>K40/Notes!$B$5</f>
        <v>75</v>
      </c>
      <c r="R40" s="6">
        <f>K40/(Notes!$B$5+Notes!$B$6)</f>
        <v>12.5</v>
      </c>
      <c r="S40">
        <f t="shared" si="0"/>
        <v>400</v>
      </c>
      <c r="T40">
        <f t="shared" si="1"/>
        <v>200</v>
      </c>
      <c r="U40">
        <f t="shared" si="2"/>
        <v>70</v>
      </c>
      <c r="V40">
        <f t="shared" si="3"/>
        <v>100</v>
      </c>
      <c r="W40">
        <f t="shared" si="4"/>
        <v>66.666666666666671</v>
      </c>
      <c r="X40">
        <f t="shared" si="5"/>
        <v>125</v>
      </c>
      <c r="Y40">
        <f t="shared" si="6"/>
        <v>25</v>
      </c>
      <c r="Z40">
        <f t="shared" si="7"/>
        <v>60</v>
      </c>
      <c r="AA40" s="11">
        <f t="shared" si="8"/>
        <v>1046.6666666666665</v>
      </c>
      <c r="AB40" s="11">
        <f t="shared" si="9"/>
        <v>104.66666666666666</v>
      </c>
    </row>
    <row r="41" spans="1:28" x14ac:dyDescent="0.25">
      <c r="A41" s="2" t="s">
        <v>94</v>
      </c>
      <c r="B41" s="2" t="s">
        <v>19</v>
      </c>
      <c r="C41" s="2" t="s">
        <v>103</v>
      </c>
      <c r="D41" s="2">
        <v>399</v>
      </c>
      <c r="E41" s="2" t="s">
        <v>104</v>
      </c>
      <c r="F41" s="3">
        <v>20</v>
      </c>
      <c r="G41" s="4">
        <f>F41/SUMIFS($F:$F,$A:$A,A41,$B:$B,B41)</f>
        <v>0.4</v>
      </c>
      <c r="H41" s="3" t="b">
        <v>0</v>
      </c>
      <c r="I41" s="3">
        <v>0.7</v>
      </c>
      <c r="J41" s="5">
        <f>IF(H41,Notes!$B$4,1)*I41</f>
        <v>0.7</v>
      </c>
      <c r="K41" s="3">
        <v>70</v>
      </c>
      <c r="L41" s="3">
        <v>150</v>
      </c>
      <c r="M41" s="3">
        <v>2</v>
      </c>
      <c r="N41" s="3">
        <v>8</v>
      </c>
      <c r="O41" s="3">
        <v>0</v>
      </c>
      <c r="P41" s="3">
        <v>70</v>
      </c>
      <c r="Q41" s="6">
        <f>K41/Notes!$B$5</f>
        <v>35</v>
      </c>
      <c r="R41" s="6">
        <f>K41/(Notes!$B$5+Notes!$B$6)</f>
        <v>5.833333333333333</v>
      </c>
      <c r="S41">
        <f t="shared" si="0"/>
        <v>20</v>
      </c>
      <c r="T41">
        <f t="shared" si="1"/>
        <v>50</v>
      </c>
      <c r="U41">
        <f t="shared" si="2"/>
        <v>70</v>
      </c>
      <c r="V41">
        <f t="shared" si="3"/>
        <v>75</v>
      </c>
      <c r="W41">
        <f t="shared" si="4"/>
        <v>50</v>
      </c>
      <c r="X41">
        <f t="shared" si="5"/>
        <v>31.25</v>
      </c>
      <c r="Y41">
        <f t="shared" si="6"/>
        <v>0</v>
      </c>
      <c r="Z41">
        <f t="shared" si="7"/>
        <v>35</v>
      </c>
      <c r="AA41" s="11">
        <f t="shared" si="8"/>
        <v>331.25</v>
      </c>
      <c r="AB41" s="11">
        <f t="shared" si="9"/>
        <v>33.125</v>
      </c>
    </row>
    <row r="42" spans="1:28" x14ac:dyDescent="0.25">
      <c r="A42" s="2" t="s">
        <v>94</v>
      </c>
      <c r="B42" s="2" t="s">
        <v>19</v>
      </c>
      <c r="C42" s="2" t="s">
        <v>105</v>
      </c>
      <c r="D42" s="2">
        <v>400</v>
      </c>
      <c r="E42" s="2" t="s">
        <v>106</v>
      </c>
      <c r="F42" s="3">
        <v>5</v>
      </c>
      <c r="G42" s="4">
        <f>F42/SUMIFS($F:$F,$A:$A,A42,$B:$B,B42)</f>
        <v>0.1</v>
      </c>
      <c r="H42" s="3" t="b">
        <v>1</v>
      </c>
      <c r="I42" s="3">
        <v>0.5</v>
      </c>
      <c r="J42" s="5">
        <f>IF(H42,Notes!$B$4,1)*I42</f>
        <v>1.2777777777777775</v>
      </c>
      <c r="K42" s="3">
        <v>120</v>
      </c>
      <c r="L42" s="3">
        <v>110</v>
      </c>
      <c r="M42" s="3">
        <v>2.5</v>
      </c>
      <c r="N42" s="3">
        <v>6</v>
      </c>
      <c r="O42" s="3">
        <v>40</v>
      </c>
      <c r="P42" s="3">
        <v>80</v>
      </c>
      <c r="Q42" s="6">
        <f>K42/Notes!$B$5</f>
        <v>60</v>
      </c>
      <c r="R42" s="6">
        <f>K42/(Notes!$B$5+Notes!$B$6)</f>
        <v>10</v>
      </c>
      <c r="S42">
        <f t="shared" si="0"/>
        <v>80</v>
      </c>
      <c r="T42">
        <f t="shared" si="1"/>
        <v>200</v>
      </c>
      <c r="U42">
        <f t="shared" si="2"/>
        <v>50</v>
      </c>
      <c r="V42">
        <f t="shared" si="3"/>
        <v>95</v>
      </c>
      <c r="W42">
        <f t="shared" si="4"/>
        <v>40</v>
      </c>
      <c r="X42">
        <f t="shared" si="5"/>
        <v>55.555555555555557</v>
      </c>
      <c r="Y42">
        <f t="shared" si="6"/>
        <v>20</v>
      </c>
      <c r="Z42">
        <f t="shared" si="7"/>
        <v>40</v>
      </c>
      <c r="AA42" s="11">
        <f t="shared" si="8"/>
        <v>580.55555555555554</v>
      </c>
      <c r="AB42" s="11">
        <f t="shared" si="9"/>
        <v>58.055555555555557</v>
      </c>
    </row>
    <row r="43" spans="1:28" x14ac:dyDescent="0.25">
      <c r="A43" s="2" t="s">
        <v>94</v>
      </c>
      <c r="B43" s="2" t="s">
        <v>28</v>
      </c>
      <c r="C43" s="2" t="s">
        <v>107</v>
      </c>
      <c r="D43" s="2">
        <v>270</v>
      </c>
      <c r="E43" s="2" t="s">
        <v>108</v>
      </c>
      <c r="F43" s="3">
        <v>21</v>
      </c>
      <c r="G43" s="4">
        <f>F43/SUMIFS($F:$F,$A:$A,A43,$B:$B,B43)</f>
        <v>0.36842105263157893</v>
      </c>
      <c r="H43" s="3" t="b">
        <v>0</v>
      </c>
      <c r="I43" s="3">
        <v>0.8</v>
      </c>
      <c r="J43" s="5">
        <f>IF(H43,Notes!$B$4,1)*I43</f>
        <v>0.8</v>
      </c>
      <c r="K43" s="3">
        <v>70</v>
      </c>
      <c r="L43" s="3">
        <v>120</v>
      </c>
      <c r="M43" s="3">
        <v>3</v>
      </c>
      <c r="N43" s="3">
        <v>5</v>
      </c>
      <c r="O43" s="3">
        <v>0</v>
      </c>
      <c r="P43" s="3">
        <v>40</v>
      </c>
      <c r="Q43" s="6">
        <f>K43/Notes!$B$5</f>
        <v>35</v>
      </c>
      <c r="R43" s="6">
        <f>K43/(Notes!$B$5+Notes!$B$6)</f>
        <v>5.833333333333333</v>
      </c>
      <c r="S43">
        <f t="shared" si="0"/>
        <v>19.047619047619047</v>
      </c>
      <c r="T43">
        <f t="shared" si="1"/>
        <v>50</v>
      </c>
      <c r="U43">
        <f t="shared" si="2"/>
        <v>80</v>
      </c>
      <c r="V43">
        <f t="shared" si="3"/>
        <v>90</v>
      </c>
      <c r="W43">
        <f t="shared" si="4"/>
        <v>33.333333333333336</v>
      </c>
      <c r="X43">
        <f t="shared" si="5"/>
        <v>80</v>
      </c>
      <c r="Y43">
        <f t="shared" si="6"/>
        <v>0</v>
      </c>
      <c r="Z43">
        <f t="shared" si="7"/>
        <v>20</v>
      </c>
      <c r="AA43" s="11">
        <f t="shared" si="8"/>
        <v>372.38095238095235</v>
      </c>
      <c r="AB43" s="11">
        <f t="shared" si="9"/>
        <v>37.238095238095234</v>
      </c>
    </row>
    <row r="44" spans="1:28" x14ac:dyDescent="0.25">
      <c r="A44" s="2" t="s">
        <v>94</v>
      </c>
      <c r="B44" s="2" t="s">
        <v>28</v>
      </c>
      <c r="C44" s="2" t="s">
        <v>109</v>
      </c>
      <c r="D44" s="2">
        <v>271</v>
      </c>
      <c r="E44" s="2" t="s">
        <v>110</v>
      </c>
      <c r="F44" s="3">
        <v>5</v>
      </c>
      <c r="G44" s="4">
        <f>F44/SUMIFS($F:$F,$A:$A,A44,$B:$B,B44)</f>
        <v>8.771929824561403E-2</v>
      </c>
      <c r="H44" s="3" t="b">
        <v>0</v>
      </c>
      <c r="I44" s="3">
        <v>1.2</v>
      </c>
      <c r="J44" s="5">
        <f>IF(H44,Notes!$B$4,1)*I44</f>
        <v>1.2</v>
      </c>
      <c r="K44" s="3">
        <v>110</v>
      </c>
      <c r="L44" s="3">
        <v>100</v>
      </c>
      <c r="M44" s="3">
        <v>1.5</v>
      </c>
      <c r="N44" s="3">
        <v>5</v>
      </c>
      <c r="O44" s="3">
        <v>25</v>
      </c>
      <c r="P44" s="3">
        <v>80</v>
      </c>
      <c r="Q44" s="6">
        <f>K44/Notes!$B$5</f>
        <v>55</v>
      </c>
      <c r="R44" s="6">
        <f>K44/(Notes!$B$5+Notes!$B$6)</f>
        <v>9.1666666666666661</v>
      </c>
      <c r="S44">
        <f t="shared" si="0"/>
        <v>80</v>
      </c>
      <c r="T44">
        <f t="shared" si="1"/>
        <v>50</v>
      </c>
      <c r="U44">
        <f t="shared" si="2"/>
        <v>120</v>
      </c>
      <c r="V44">
        <f t="shared" si="3"/>
        <v>100</v>
      </c>
      <c r="W44">
        <f t="shared" si="4"/>
        <v>66.666666666666671</v>
      </c>
      <c r="X44">
        <f t="shared" si="5"/>
        <v>80</v>
      </c>
      <c r="Y44">
        <f t="shared" si="6"/>
        <v>12.5</v>
      </c>
      <c r="Z44">
        <f t="shared" si="7"/>
        <v>40</v>
      </c>
      <c r="AA44" s="11">
        <f t="shared" si="8"/>
        <v>549.16666666666674</v>
      </c>
      <c r="AB44" s="11">
        <f t="shared" si="9"/>
        <v>54.916666666666671</v>
      </c>
    </row>
    <row r="45" spans="1:28" x14ac:dyDescent="0.25">
      <c r="A45" s="2" t="s">
        <v>94</v>
      </c>
      <c r="B45" s="2" t="s">
        <v>28</v>
      </c>
      <c r="C45" s="2" t="s">
        <v>111</v>
      </c>
      <c r="D45" s="2">
        <v>272</v>
      </c>
      <c r="E45" s="2" t="s">
        <v>112</v>
      </c>
      <c r="F45" s="3">
        <v>1</v>
      </c>
      <c r="G45" s="4">
        <f>F45/SUMIFS($F:$F,$A:$A,A45,$B:$B,B45)</f>
        <v>1.7543859649122806E-2</v>
      </c>
      <c r="H45" s="3" t="b">
        <v>1</v>
      </c>
      <c r="I45" s="3">
        <v>1</v>
      </c>
      <c r="J45" s="5">
        <f>IF(H45,Notes!$B$4,1)*I45</f>
        <v>2.5555555555555549</v>
      </c>
      <c r="K45" s="3">
        <v>250</v>
      </c>
      <c r="L45" s="3">
        <v>80</v>
      </c>
      <c r="M45" s="3">
        <v>5</v>
      </c>
      <c r="N45" s="3">
        <v>3.5</v>
      </c>
      <c r="O45" s="3">
        <v>50</v>
      </c>
      <c r="P45" s="3">
        <v>100</v>
      </c>
      <c r="Q45" s="6">
        <f>K45/Notes!$B$5</f>
        <v>125</v>
      </c>
      <c r="R45" s="6">
        <f>K45/(Notes!$B$5+Notes!$B$6)</f>
        <v>20.833333333333332</v>
      </c>
      <c r="S45">
        <f t="shared" si="0"/>
        <v>400</v>
      </c>
      <c r="T45">
        <f t="shared" si="1"/>
        <v>200</v>
      </c>
      <c r="U45">
        <f t="shared" si="2"/>
        <v>100</v>
      </c>
      <c r="V45">
        <f t="shared" si="3"/>
        <v>110</v>
      </c>
      <c r="W45">
        <f t="shared" si="4"/>
        <v>20</v>
      </c>
      <c r="X45">
        <f t="shared" si="5"/>
        <v>163.26530612244898</v>
      </c>
      <c r="Y45">
        <f t="shared" si="6"/>
        <v>25</v>
      </c>
      <c r="Z45">
        <f t="shared" si="7"/>
        <v>50</v>
      </c>
      <c r="AA45" s="11">
        <f t="shared" si="8"/>
        <v>1068.2653061224489</v>
      </c>
      <c r="AB45" s="11">
        <f t="shared" si="9"/>
        <v>106.82653061224489</v>
      </c>
    </row>
    <row r="46" spans="1:28" x14ac:dyDescent="0.25">
      <c r="A46" s="2" t="s">
        <v>94</v>
      </c>
      <c r="B46" s="2" t="s">
        <v>28</v>
      </c>
      <c r="C46" s="2" t="s">
        <v>113</v>
      </c>
      <c r="D46" s="2">
        <v>118</v>
      </c>
      <c r="E46" s="2" t="s">
        <v>114</v>
      </c>
      <c r="F46" s="3">
        <v>25</v>
      </c>
      <c r="G46" s="4">
        <f>F46/SUMIFS($F:$F,$A:$A,A46,$B:$B,B46)</f>
        <v>0.43859649122807015</v>
      </c>
      <c r="H46" s="3" t="b">
        <v>0</v>
      </c>
      <c r="I46" s="3">
        <v>0.7</v>
      </c>
      <c r="J46" s="5">
        <f>IF(H46,Notes!$B$4,1)*I46</f>
        <v>0.7</v>
      </c>
      <c r="K46" s="3">
        <v>90</v>
      </c>
      <c r="L46" s="3">
        <v>120</v>
      </c>
      <c r="M46" s="3">
        <v>2.5</v>
      </c>
      <c r="N46" s="3">
        <v>7</v>
      </c>
      <c r="O46" s="3">
        <v>10</v>
      </c>
      <c r="P46" s="3">
        <v>75</v>
      </c>
      <c r="Q46" s="6">
        <f>K46/Notes!$B$5</f>
        <v>45</v>
      </c>
      <c r="R46" s="6">
        <f>K46/(Notes!$B$5+Notes!$B$6)</f>
        <v>7.5</v>
      </c>
      <c r="S46">
        <f t="shared" si="0"/>
        <v>16</v>
      </c>
      <c r="T46">
        <f t="shared" si="1"/>
        <v>50</v>
      </c>
      <c r="U46">
        <f t="shared" si="2"/>
        <v>70</v>
      </c>
      <c r="V46">
        <f t="shared" si="3"/>
        <v>90</v>
      </c>
      <c r="W46">
        <f t="shared" si="4"/>
        <v>40</v>
      </c>
      <c r="X46">
        <f t="shared" si="5"/>
        <v>40.816326530612244</v>
      </c>
      <c r="Y46">
        <f t="shared" si="6"/>
        <v>5</v>
      </c>
      <c r="Z46">
        <f t="shared" si="7"/>
        <v>37.5</v>
      </c>
      <c r="AA46" s="11">
        <f t="shared" si="8"/>
        <v>349.31632653061223</v>
      </c>
      <c r="AB46" s="11">
        <f t="shared" si="9"/>
        <v>34.931632653061222</v>
      </c>
    </row>
    <row r="47" spans="1:28" x14ac:dyDescent="0.25">
      <c r="A47" s="2" t="s">
        <v>94</v>
      </c>
      <c r="B47" s="2" t="s">
        <v>28</v>
      </c>
      <c r="C47" s="2" t="s">
        <v>115</v>
      </c>
      <c r="D47" s="2">
        <v>119</v>
      </c>
      <c r="E47" s="2" t="s">
        <v>116</v>
      </c>
      <c r="F47" s="3">
        <v>5</v>
      </c>
      <c r="G47" s="4">
        <f>F47/SUMIFS($F:$F,$A:$A,A47,$B:$B,B47)</f>
        <v>8.771929824561403E-2</v>
      </c>
      <c r="H47" s="3" t="b">
        <v>1</v>
      </c>
      <c r="I47" s="3">
        <v>0.7</v>
      </c>
      <c r="J47" s="5">
        <f>IF(H47,Notes!$B$4,1)*I47</f>
        <v>1.7888888888888883</v>
      </c>
      <c r="K47" s="3">
        <v>120</v>
      </c>
      <c r="L47" s="3">
        <v>95</v>
      </c>
      <c r="M47" s="3">
        <v>1.5</v>
      </c>
      <c r="N47" s="3">
        <v>5</v>
      </c>
      <c r="O47" s="3">
        <v>40</v>
      </c>
      <c r="P47" s="3">
        <v>110</v>
      </c>
      <c r="Q47" s="6">
        <f>K47/Notes!$B$5</f>
        <v>60</v>
      </c>
      <c r="R47" s="6">
        <f>K47/(Notes!$B$5+Notes!$B$6)</f>
        <v>10</v>
      </c>
      <c r="S47">
        <f t="shared" si="0"/>
        <v>80</v>
      </c>
      <c r="T47">
        <f t="shared" si="1"/>
        <v>200</v>
      </c>
      <c r="U47">
        <f t="shared" si="2"/>
        <v>70</v>
      </c>
      <c r="V47">
        <f t="shared" si="3"/>
        <v>102.5</v>
      </c>
      <c r="W47">
        <f t="shared" si="4"/>
        <v>66.666666666666671</v>
      </c>
      <c r="X47">
        <f t="shared" si="5"/>
        <v>80</v>
      </c>
      <c r="Y47">
        <f t="shared" si="6"/>
        <v>20</v>
      </c>
      <c r="Z47">
        <f t="shared" si="7"/>
        <v>55</v>
      </c>
      <c r="AA47" s="11">
        <f t="shared" si="8"/>
        <v>674.16666666666663</v>
      </c>
      <c r="AB47" s="11">
        <f t="shared" si="9"/>
        <v>67.416666666666657</v>
      </c>
    </row>
    <row r="48" spans="1:28" x14ac:dyDescent="0.25">
      <c r="A48" s="2" t="s">
        <v>94</v>
      </c>
      <c r="B48" s="2" t="s">
        <v>37</v>
      </c>
      <c r="C48" s="2" t="s">
        <v>117</v>
      </c>
      <c r="D48" s="2">
        <v>339</v>
      </c>
      <c r="E48" s="2" t="s">
        <v>118</v>
      </c>
      <c r="F48" s="3">
        <v>100</v>
      </c>
      <c r="G48" s="4">
        <f>F48/SUMIFS($F:$F,$A:$A,A48,$B:$B,B48)</f>
        <v>0.7142857142857143</v>
      </c>
      <c r="H48" s="3" t="b">
        <v>0</v>
      </c>
      <c r="I48" s="3">
        <v>0.7</v>
      </c>
      <c r="J48" s="5">
        <f>IF(H48,Notes!$B$4,1)*I48</f>
        <v>0.7</v>
      </c>
      <c r="K48" s="3">
        <v>80</v>
      </c>
      <c r="L48" s="3">
        <v>120</v>
      </c>
      <c r="M48" s="3">
        <v>1.5</v>
      </c>
      <c r="N48" s="3">
        <v>5</v>
      </c>
      <c r="O48" s="3">
        <v>10</v>
      </c>
      <c r="P48" s="3">
        <v>40</v>
      </c>
      <c r="Q48" s="6">
        <f>K48/Notes!$B$5</f>
        <v>40</v>
      </c>
      <c r="R48" s="6">
        <f>K48/(Notes!$B$5+Notes!$B$6)</f>
        <v>6.666666666666667</v>
      </c>
      <c r="S48">
        <f t="shared" si="0"/>
        <v>4</v>
      </c>
      <c r="T48">
        <f t="shared" si="1"/>
        <v>50</v>
      </c>
      <c r="U48">
        <f t="shared" si="2"/>
        <v>70</v>
      </c>
      <c r="V48">
        <f t="shared" si="3"/>
        <v>90</v>
      </c>
      <c r="W48">
        <f t="shared" si="4"/>
        <v>66.666666666666671</v>
      </c>
      <c r="X48">
        <f t="shared" si="5"/>
        <v>80</v>
      </c>
      <c r="Y48">
        <f t="shared" si="6"/>
        <v>5</v>
      </c>
      <c r="Z48">
        <f t="shared" si="7"/>
        <v>20</v>
      </c>
      <c r="AA48" s="11">
        <f t="shared" si="8"/>
        <v>385.66666666666669</v>
      </c>
      <c r="AB48" s="11">
        <f t="shared" si="9"/>
        <v>38.56666666666667</v>
      </c>
    </row>
    <row r="49" spans="1:28" x14ac:dyDescent="0.25">
      <c r="A49" s="2" t="s">
        <v>94</v>
      </c>
      <c r="B49" s="2" t="s">
        <v>37</v>
      </c>
      <c r="C49" s="2" t="s">
        <v>119</v>
      </c>
      <c r="D49" s="2">
        <v>340</v>
      </c>
      <c r="E49" s="2" t="s">
        <v>120</v>
      </c>
      <c r="F49" s="3">
        <v>10</v>
      </c>
      <c r="G49" s="4">
        <f>F49/SUMIFS($F:$F,$A:$A,A49,$B:$B,B49)</f>
        <v>7.1428571428571425E-2</v>
      </c>
      <c r="H49" s="3" t="b">
        <v>1</v>
      </c>
      <c r="I49" s="3">
        <v>0.9</v>
      </c>
      <c r="J49" s="5">
        <f>IF(H49,Notes!$B$4,1)*I49</f>
        <v>2.2999999999999994</v>
      </c>
      <c r="K49" s="3">
        <v>130</v>
      </c>
      <c r="L49" s="3">
        <v>90</v>
      </c>
      <c r="M49" s="3">
        <v>2.5</v>
      </c>
      <c r="N49" s="3">
        <v>4.5</v>
      </c>
      <c r="O49" s="3">
        <v>60</v>
      </c>
      <c r="P49" s="3">
        <v>80</v>
      </c>
      <c r="Q49" s="6">
        <f>K49/Notes!$B$5</f>
        <v>65</v>
      </c>
      <c r="R49" s="6">
        <f>K49/(Notes!$B$5+Notes!$B$6)</f>
        <v>10.833333333333334</v>
      </c>
      <c r="S49">
        <f t="shared" si="0"/>
        <v>40</v>
      </c>
      <c r="T49">
        <f t="shared" si="1"/>
        <v>200</v>
      </c>
      <c r="U49">
        <f t="shared" si="2"/>
        <v>90</v>
      </c>
      <c r="V49">
        <f t="shared" si="3"/>
        <v>105</v>
      </c>
      <c r="W49">
        <f t="shared" si="4"/>
        <v>40</v>
      </c>
      <c r="X49">
        <f t="shared" si="5"/>
        <v>98.76543209876543</v>
      </c>
      <c r="Y49">
        <f t="shared" si="6"/>
        <v>30</v>
      </c>
      <c r="Z49">
        <f t="shared" si="7"/>
        <v>40</v>
      </c>
      <c r="AA49" s="11">
        <f t="shared" si="8"/>
        <v>643.76543209876547</v>
      </c>
      <c r="AB49" s="11">
        <f t="shared" si="9"/>
        <v>64.376543209876544</v>
      </c>
    </row>
    <row r="50" spans="1:28" x14ac:dyDescent="0.25">
      <c r="A50" s="2" t="s">
        <v>94</v>
      </c>
      <c r="B50" s="2" t="s">
        <v>37</v>
      </c>
      <c r="C50" s="2" t="s">
        <v>121</v>
      </c>
      <c r="D50" s="2">
        <v>535</v>
      </c>
      <c r="E50" s="2" t="s">
        <v>122</v>
      </c>
      <c r="F50" s="3">
        <v>10</v>
      </c>
      <c r="G50" s="4">
        <f>F50/SUMIFS($F:$F,$A:$A,A50,$B:$B,B50)</f>
        <v>7.1428571428571425E-2</v>
      </c>
      <c r="H50" s="3" t="b">
        <v>0</v>
      </c>
      <c r="I50" s="3">
        <v>0.5</v>
      </c>
      <c r="J50" s="5">
        <f>IF(H50,Notes!$B$4,1)*I50</f>
        <v>0.5</v>
      </c>
      <c r="K50" s="3">
        <v>70</v>
      </c>
      <c r="L50" s="3">
        <v>140</v>
      </c>
      <c r="M50" s="3">
        <v>2.5</v>
      </c>
      <c r="N50" s="3">
        <v>6</v>
      </c>
      <c r="O50" s="3">
        <v>0</v>
      </c>
      <c r="P50" s="3">
        <v>30</v>
      </c>
      <c r="Q50" s="6">
        <f>K50/Notes!$B$5</f>
        <v>35</v>
      </c>
      <c r="R50" s="6">
        <f>K50/(Notes!$B$5+Notes!$B$6)</f>
        <v>5.833333333333333</v>
      </c>
      <c r="S50">
        <f t="shared" si="0"/>
        <v>40</v>
      </c>
      <c r="T50">
        <f t="shared" si="1"/>
        <v>50</v>
      </c>
      <c r="U50">
        <f t="shared" si="2"/>
        <v>50</v>
      </c>
      <c r="V50">
        <f t="shared" si="3"/>
        <v>80</v>
      </c>
      <c r="W50">
        <f t="shared" si="4"/>
        <v>40</v>
      </c>
      <c r="X50">
        <f t="shared" si="5"/>
        <v>55.555555555555557</v>
      </c>
      <c r="Y50">
        <f t="shared" si="6"/>
        <v>0</v>
      </c>
      <c r="Z50">
        <f t="shared" si="7"/>
        <v>15</v>
      </c>
      <c r="AA50" s="11">
        <f t="shared" si="8"/>
        <v>330.55555555555554</v>
      </c>
      <c r="AB50" s="11">
        <f t="shared" si="9"/>
        <v>33.055555555555557</v>
      </c>
    </row>
    <row r="51" spans="1:28" x14ac:dyDescent="0.25">
      <c r="A51" s="2" t="s">
        <v>94</v>
      </c>
      <c r="B51" s="2" t="s">
        <v>37</v>
      </c>
      <c r="C51" s="2" t="s">
        <v>123</v>
      </c>
      <c r="D51" s="2">
        <v>536</v>
      </c>
      <c r="E51" s="2" t="s">
        <v>124</v>
      </c>
      <c r="F51" s="3">
        <v>10</v>
      </c>
      <c r="G51" s="4">
        <f>F51/SUMIFS($F:$F,$A:$A,A51,$B:$B,B51)</f>
        <v>7.1428571428571425E-2</v>
      </c>
      <c r="H51" s="3" t="b">
        <v>1</v>
      </c>
      <c r="I51" s="3">
        <v>0.5</v>
      </c>
      <c r="J51" s="5">
        <f>IF(H51,Notes!$B$4,1)*I51</f>
        <v>1.2777777777777775</v>
      </c>
      <c r="K51" s="3">
        <v>110</v>
      </c>
      <c r="L51" s="3">
        <v>100</v>
      </c>
      <c r="M51" s="3">
        <v>1.5</v>
      </c>
      <c r="N51" s="3">
        <v>5</v>
      </c>
      <c r="O51" s="3">
        <v>25</v>
      </c>
      <c r="P51" s="3">
        <v>60</v>
      </c>
      <c r="Q51" s="6">
        <f>K51/Notes!$B$5</f>
        <v>55</v>
      </c>
      <c r="R51" s="6">
        <f>K51/(Notes!$B$5+Notes!$B$6)</f>
        <v>9.1666666666666661</v>
      </c>
      <c r="S51">
        <f t="shared" si="0"/>
        <v>40</v>
      </c>
      <c r="T51">
        <f t="shared" si="1"/>
        <v>200</v>
      </c>
      <c r="U51">
        <f t="shared" si="2"/>
        <v>50</v>
      </c>
      <c r="V51">
        <f t="shared" si="3"/>
        <v>100</v>
      </c>
      <c r="W51">
        <f t="shared" si="4"/>
        <v>66.666666666666671</v>
      </c>
      <c r="X51">
        <f t="shared" si="5"/>
        <v>80</v>
      </c>
      <c r="Y51">
        <f t="shared" si="6"/>
        <v>12.5</v>
      </c>
      <c r="Z51">
        <f t="shared" si="7"/>
        <v>30</v>
      </c>
      <c r="AA51" s="11">
        <f t="shared" si="8"/>
        <v>579.16666666666674</v>
      </c>
      <c r="AB51" s="11">
        <f t="shared" si="9"/>
        <v>57.916666666666671</v>
      </c>
    </row>
    <row r="52" spans="1:28" x14ac:dyDescent="0.25">
      <c r="A52" s="2" t="s">
        <v>94</v>
      </c>
      <c r="B52" s="2" t="s">
        <v>37</v>
      </c>
      <c r="C52" s="2" t="s">
        <v>125</v>
      </c>
      <c r="D52" s="2">
        <v>537</v>
      </c>
      <c r="E52" s="2" t="s">
        <v>126</v>
      </c>
      <c r="F52" s="3">
        <v>10</v>
      </c>
      <c r="G52" s="4">
        <f>F52/SUMIFS($F:$F,$A:$A,A52,$B:$B,B52)</f>
        <v>7.1428571428571425E-2</v>
      </c>
      <c r="H52" s="3" t="b">
        <v>1</v>
      </c>
      <c r="I52" s="3">
        <v>1.2</v>
      </c>
      <c r="J52" s="5">
        <f>IF(H52,Notes!$B$4,1)*I52</f>
        <v>3.066666666666666</v>
      </c>
      <c r="K52" s="3">
        <v>150</v>
      </c>
      <c r="L52" s="3">
        <v>85</v>
      </c>
      <c r="M52" s="3">
        <v>2</v>
      </c>
      <c r="N52" s="3">
        <v>4</v>
      </c>
      <c r="O52" s="3">
        <v>75</v>
      </c>
      <c r="P52" s="3">
        <v>80</v>
      </c>
      <c r="Q52" s="6">
        <f>K52/Notes!$B$5</f>
        <v>75</v>
      </c>
      <c r="R52" s="6">
        <f>K52/(Notes!$B$5+Notes!$B$6)</f>
        <v>12.5</v>
      </c>
      <c r="S52">
        <f t="shared" si="0"/>
        <v>40</v>
      </c>
      <c r="T52">
        <f t="shared" si="1"/>
        <v>200</v>
      </c>
      <c r="U52">
        <f t="shared" si="2"/>
        <v>120</v>
      </c>
      <c r="V52">
        <f t="shared" si="3"/>
        <v>107.5</v>
      </c>
      <c r="W52">
        <f t="shared" si="4"/>
        <v>50</v>
      </c>
      <c r="X52">
        <f t="shared" si="5"/>
        <v>125</v>
      </c>
      <c r="Y52">
        <f t="shared" si="6"/>
        <v>37.5</v>
      </c>
      <c r="Z52">
        <f t="shared" si="7"/>
        <v>40</v>
      </c>
      <c r="AA52" s="11">
        <f t="shared" si="8"/>
        <v>720</v>
      </c>
      <c r="AB52" s="11">
        <f t="shared" si="9"/>
        <v>72</v>
      </c>
    </row>
    <row r="53" spans="1:28" x14ac:dyDescent="0.25">
      <c r="A53" s="2" t="s">
        <v>94</v>
      </c>
      <c r="B53" s="2" t="s">
        <v>46</v>
      </c>
      <c r="C53" s="2" t="s">
        <v>127</v>
      </c>
      <c r="D53" s="2">
        <v>194</v>
      </c>
      <c r="E53" s="2" t="s">
        <v>128</v>
      </c>
      <c r="F53" s="3">
        <v>20</v>
      </c>
      <c r="G53" s="4">
        <f>F53/SUMIFS($F:$F,$A:$A,A53,$B:$B,B53)</f>
        <v>0.44444444444444442</v>
      </c>
      <c r="H53" s="3" t="b">
        <v>0</v>
      </c>
      <c r="I53" s="3">
        <v>0.6</v>
      </c>
      <c r="J53" s="5">
        <f>IF(H53,Notes!$B$4,1)*I53</f>
        <v>0.6</v>
      </c>
      <c r="K53" s="3">
        <v>90</v>
      </c>
      <c r="L53" s="3">
        <v>110</v>
      </c>
      <c r="M53" s="3">
        <v>2.5</v>
      </c>
      <c r="N53" s="3">
        <v>5.5</v>
      </c>
      <c r="O53" s="3">
        <v>0</v>
      </c>
      <c r="P53" s="3">
        <v>40</v>
      </c>
      <c r="Q53" s="6">
        <f>K53/Notes!$B$5</f>
        <v>45</v>
      </c>
      <c r="R53" s="6">
        <f>K53/(Notes!$B$5+Notes!$B$6)</f>
        <v>7.5</v>
      </c>
      <c r="S53">
        <f t="shared" si="0"/>
        <v>20</v>
      </c>
      <c r="T53">
        <f t="shared" si="1"/>
        <v>50</v>
      </c>
      <c r="U53">
        <f t="shared" si="2"/>
        <v>60</v>
      </c>
      <c r="V53">
        <f t="shared" si="3"/>
        <v>95</v>
      </c>
      <c r="W53">
        <f t="shared" si="4"/>
        <v>40</v>
      </c>
      <c r="X53">
        <f t="shared" si="5"/>
        <v>66.11570247933885</v>
      </c>
      <c r="Y53">
        <f t="shared" si="6"/>
        <v>0</v>
      </c>
      <c r="Z53">
        <f t="shared" si="7"/>
        <v>20</v>
      </c>
      <c r="AA53" s="11">
        <f t="shared" si="8"/>
        <v>351.11570247933884</v>
      </c>
      <c r="AB53" s="11">
        <f t="shared" si="9"/>
        <v>35.111570247933884</v>
      </c>
    </row>
    <row r="54" spans="1:28" x14ac:dyDescent="0.25">
      <c r="A54" s="2" t="s">
        <v>94</v>
      </c>
      <c r="B54" s="2" t="s">
        <v>46</v>
      </c>
      <c r="C54" s="2" t="s">
        <v>129</v>
      </c>
      <c r="D54" s="2">
        <v>195</v>
      </c>
      <c r="E54" s="2" t="s">
        <v>130</v>
      </c>
      <c r="F54" s="3">
        <v>5</v>
      </c>
      <c r="G54" s="4">
        <f>F54/SUMIFS($F:$F,$A:$A,A54,$B:$B,B54)</f>
        <v>0.1111111111111111</v>
      </c>
      <c r="H54" s="3" t="b">
        <v>1</v>
      </c>
      <c r="I54" s="3">
        <v>0.8</v>
      </c>
      <c r="J54" s="5">
        <f>IF(H54,Notes!$B$4,1)*I54</f>
        <v>2.0444444444444438</v>
      </c>
      <c r="K54" s="3">
        <v>120</v>
      </c>
      <c r="L54" s="3">
        <v>100</v>
      </c>
      <c r="M54" s="3">
        <v>2.5</v>
      </c>
      <c r="N54" s="3">
        <v>4</v>
      </c>
      <c r="O54" s="3">
        <v>25</v>
      </c>
      <c r="P54" s="3">
        <v>90</v>
      </c>
      <c r="Q54" s="6">
        <f>K54/Notes!$B$5</f>
        <v>60</v>
      </c>
      <c r="R54" s="6">
        <f>K54/(Notes!$B$5+Notes!$B$6)</f>
        <v>10</v>
      </c>
      <c r="S54">
        <f t="shared" si="0"/>
        <v>80</v>
      </c>
      <c r="T54">
        <f t="shared" si="1"/>
        <v>200</v>
      </c>
      <c r="U54">
        <f t="shared" si="2"/>
        <v>80</v>
      </c>
      <c r="V54">
        <f t="shared" si="3"/>
        <v>100</v>
      </c>
      <c r="W54">
        <f t="shared" si="4"/>
        <v>40</v>
      </c>
      <c r="X54">
        <f t="shared" si="5"/>
        <v>125</v>
      </c>
      <c r="Y54">
        <f t="shared" si="6"/>
        <v>12.5</v>
      </c>
      <c r="Z54">
        <f t="shared" si="7"/>
        <v>45</v>
      </c>
      <c r="AA54" s="11">
        <f t="shared" si="8"/>
        <v>682.5</v>
      </c>
      <c r="AB54" s="11">
        <f t="shared" si="9"/>
        <v>68.25</v>
      </c>
    </row>
    <row r="55" spans="1:28" x14ac:dyDescent="0.25">
      <c r="A55" s="2" t="s">
        <v>94</v>
      </c>
      <c r="B55" s="2" t="s">
        <v>46</v>
      </c>
      <c r="C55" s="2" t="s">
        <v>131</v>
      </c>
      <c r="D55" s="2">
        <v>54</v>
      </c>
      <c r="E55" s="2" t="s">
        <v>132</v>
      </c>
      <c r="F55" s="3">
        <v>10</v>
      </c>
      <c r="G55" s="4">
        <f>F55/SUMIFS($F:$F,$A:$A,A55,$B:$B,B55)</f>
        <v>0.22222222222222221</v>
      </c>
      <c r="H55" s="3" t="b">
        <v>0</v>
      </c>
      <c r="I55" s="3">
        <v>0.7</v>
      </c>
      <c r="J55" s="5">
        <f>IF(H55,Notes!$B$4,1)*I55</f>
        <v>0.7</v>
      </c>
      <c r="K55" s="3">
        <v>85</v>
      </c>
      <c r="L55" s="3">
        <v>120</v>
      </c>
      <c r="M55" s="3">
        <v>2</v>
      </c>
      <c r="N55" s="3">
        <v>5</v>
      </c>
      <c r="O55" s="3">
        <v>10</v>
      </c>
      <c r="P55" s="3">
        <v>60</v>
      </c>
      <c r="Q55" s="6">
        <f>K55/Notes!$B$5</f>
        <v>42.5</v>
      </c>
      <c r="R55" s="6">
        <f>K55/(Notes!$B$5+Notes!$B$6)</f>
        <v>7.083333333333333</v>
      </c>
      <c r="S55">
        <f t="shared" si="0"/>
        <v>40</v>
      </c>
      <c r="T55">
        <f t="shared" si="1"/>
        <v>50</v>
      </c>
      <c r="U55">
        <f t="shared" si="2"/>
        <v>70</v>
      </c>
      <c r="V55">
        <f t="shared" si="3"/>
        <v>90</v>
      </c>
      <c r="W55">
        <f t="shared" si="4"/>
        <v>50</v>
      </c>
      <c r="X55">
        <f t="shared" si="5"/>
        <v>80</v>
      </c>
      <c r="Y55">
        <f t="shared" si="6"/>
        <v>5</v>
      </c>
      <c r="Z55">
        <f t="shared" si="7"/>
        <v>30</v>
      </c>
      <c r="AA55" s="11">
        <f t="shared" si="8"/>
        <v>415</v>
      </c>
      <c r="AB55" s="11">
        <f t="shared" si="9"/>
        <v>41.5</v>
      </c>
    </row>
    <row r="56" spans="1:28" x14ac:dyDescent="0.25">
      <c r="A56" s="2" t="s">
        <v>94</v>
      </c>
      <c r="B56" s="2" t="s">
        <v>46</v>
      </c>
      <c r="C56" s="2" t="s">
        <v>133</v>
      </c>
      <c r="D56" s="2">
        <v>55</v>
      </c>
      <c r="E56" s="2" t="s">
        <v>134</v>
      </c>
      <c r="F56" s="3">
        <v>10</v>
      </c>
      <c r="G56" s="4">
        <f>F56/SUMIFS($F:$F,$A:$A,A56,$B:$B,B56)</f>
        <v>0.22222222222222221</v>
      </c>
      <c r="H56" s="3" t="b">
        <v>1</v>
      </c>
      <c r="I56" s="3">
        <v>0.7</v>
      </c>
      <c r="J56" s="5">
        <f>IF(H56,Notes!$B$4,1)*I56</f>
        <v>1.7888888888888883</v>
      </c>
      <c r="K56" s="3">
        <v>125</v>
      </c>
      <c r="L56" s="3">
        <v>90</v>
      </c>
      <c r="M56" s="3">
        <v>1.5</v>
      </c>
      <c r="N56" s="3">
        <v>5</v>
      </c>
      <c r="O56" s="3">
        <v>50</v>
      </c>
      <c r="P56" s="3">
        <v>120</v>
      </c>
      <c r="Q56" s="6">
        <f>K56/Notes!$B$5</f>
        <v>62.5</v>
      </c>
      <c r="R56" s="6">
        <f>K56/(Notes!$B$5+Notes!$B$6)</f>
        <v>10.416666666666666</v>
      </c>
      <c r="S56">
        <f t="shared" si="0"/>
        <v>40</v>
      </c>
      <c r="T56">
        <f t="shared" si="1"/>
        <v>200</v>
      </c>
      <c r="U56">
        <f t="shared" si="2"/>
        <v>70</v>
      </c>
      <c r="V56">
        <f t="shared" si="3"/>
        <v>105</v>
      </c>
      <c r="W56">
        <f t="shared" si="4"/>
        <v>66.666666666666671</v>
      </c>
      <c r="X56">
        <f t="shared" si="5"/>
        <v>80</v>
      </c>
      <c r="Y56">
        <f t="shared" si="6"/>
        <v>25</v>
      </c>
      <c r="Z56">
        <f t="shared" si="7"/>
        <v>60</v>
      </c>
      <c r="AA56" s="11">
        <f t="shared" si="8"/>
        <v>646.66666666666674</v>
      </c>
      <c r="AB56" s="11">
        <f t="shared" si="9"/>
        <v>64.666666666666671</v>
      </c>
    </row>
    <row r="57" spans="1:28" x14ac:dyDescent="0.25">
      <c r="A57" s="2" t="s">
        <v>135</v>
      </c>
      <c r="B57" s="2" t="s">
        <v>19</v>
      </c>
      <c r="C57" s="2" t="s">
        <v>136</v>
      </c>
      <c r="D57" s="2">
        <v>592</v>
      </c>
      <c r="E57" s="2" t="s">
        <v>137</v>
      </c>
      <c r="F57" s="3">
        <v>33</v>
      </c>
      <c r="G57" s="4">
        <f>F57/SUMIFS($F:$F,$A:$A,A57,$B:$B,B57)</f>
        <v>0.33</v>
      </c>
      <c r="H57" s="3" t="b">
        <v>0</v>
      </c>
      <c r="I57" s="3">
        <v>0.9</v>
      </c>
      <c r="J57" s="5">
        <f>IF(H57,Notes!$B$4,1)*I57</f>
        <v>0.9</v>
      </c>
      <c r="K57" s="3">
        <v>90</v>
      </c>
      <c r="L57" s="3">
        <v>110</v>
      </c>
      <c r="M57" s="3">
        <v>2</v>
      </c>
      <c r="N57" s="3">
        <v>7</v>
      </c>
      <c r="O57" s="3">
        <v>15</v>
      </c>
      <c r="P57" s="3">
        <v>70</v>
      </c>
      <c r="Q57" s="6">
        <f>K57/Notes!$B$5</f>
        <v>45</v>
      </c>
      <c r="R57" s="6">
        <f>K57/(Notes!$B$5+Notes!$B$6)</f>
        <v>7.5</v>
      </c>
      <c r="S57">
        <f t="shared" si="0"/>
        <v>12.121212121212121</v>
      </c>
      <c r="T57">
        <f t="shared" si="1"/>
        <v>50</v>
      </c>
      <c r="U57">
        <f t="shared" si="2"/>
        <v>90</v>
      </c>
      <c r="V57">
        <f t="shared" si="3"/>
        <v>95</v>
      </c>
      <c r="W57">
        <f t="shared" si="4"/>
        <v>50</v>
      </c>
      <c r="X57">
        <f t="shared" si="5"/>
        <v>40.816326530612244</v>
      </c>
      <c r="Y57">
        <f t="shared" si="6"/>
        <v>7.5</v>
      </c>
      <c r="Z57">
        <f t="shared" si="7"/>
        <v>35</v>
      </c>
      <c r="AA57" s="11">
        <f t="shared" si="8"/>
        <v>380.43753865182435</v>
      </c>
      <c r="AB57" s="11">
        <f t="shared" si="9"/>
        <v>38.043753865182438</v>
      </c>
    </row>
    <row r="58" spans="1:28" x14ac:dyDescent="0.25">
      <c r="A58" s="2" t="s">
        <v>135</v>
      </c>
      <c r="B58" s="2" t="s">
        <v>19</v>
      </c>
      <c r="C58" s="2" t="s">
        <v>138</v>
      </c>
      <c r="D58" s="2">
        <v>593</v>
      </c>
      <c r="E58" s="2" t="s">
        <v>139</v>
      </c>
      <c r="F58" s="3">
        <v>5</v>
      </c>
      <c r="G58" s="4">
        <f>F58/SUMIFS($F:$F,$A:$A,A58,$B:$B,B58)</f>
        <v>0.05</v>
      </c>
      <c r="H58" s="3" t="b">
        <v>1</v>
      </c>
      <c r="I58" s="3">
        <v>0.8</v>
      </c>
      <c r="J58" s="5">
        <f>IF(H58,Notes!$B$4,1)*I58</f>
        <v>2.0444444444444438</v>
      </c>
      <c r="K58" s="3">
        <v>160</v>
      </c>
      <c r="L58" s="3">
        <v>90</v>
      </c>
      <c r="M58" s="3">
        <v>3</v>
      </c>
      <c r="N58" s="3">
        <v>5</v>
      </c>
      <c r="O58" s="3">
        <v>100</v>
      </c>
      <c r="P58" s="3">
        <v>90</v>
      </c>
      <c r="Q58" s="6">
        <f>K58/Notes!$B$5</f>
        <v>80</v>
      </c>
      <c r="R58" s="6">
        <f>K58/(Notes!$B$5+Notes!$B$6)</f>
        <v>13.333333333333334</v>
      </c>
      <c r="S58">
        <f t="shared" si="0"/>
        <v>80</v>
      </c>
      <c r="T58">
        <f t="shared" si="1"/>
        <v>200</v>
      </c>
      <c r="U58">
        <f t="shared" si="2"/>
        <v>80</v>
      </c>
      <c r="V58">
        <f t="shared" si="3"/>
        <v>105</v>
      </c>
      <c r="W58">
        <f t="shared" si="4"/>
        <v>33.333333333333336</v>
      </c>
      <c r="X58">
        <f t="shared" si="5"/>
        <v>80</v>
      </c>
      <c r="Y58">
        <f t="shared" si="6"/>
        <v>50</v>
      </c>
      <c r="Z58">
        <f t="shared" si="7"/>
        <v>45</v>
      </c>
      <c r="AA58" s="11">
        <f t="shared" si="8"/>
        <v>673.33333333333326</v>
      </c>
      <c r="AB58" s="11">
        <f t="shared" si="9"/>
        <v>67.333333333333329</v>
      </c>
    </row>
    <row r="59" spans="1:28" x14ac:dyDescent="0.25">
      <c r="A59" s="2" t="s">
        <v>135</v>
      </c>
      <c r="B59" s="2" t="s">
        <v>19</v>
      </c>
      <c r="C59" s="2" t="s">
        <v>140</v>
      </c>
      <c r="D59" s="2">
        <v>746</v>
      </c>
      <c r="E59" s="2" t="s">
        <v>141</v>
      </c>
      <c r="F59" s="3">
        <v>39</v>
      </c>
      <c r="G59" s="4">
        <f>F59/SUMIFS($F:$F,$A:$A,A59,$B:$B,B59)</f>
        <v>0.39</v>
      </c>
      <c r="H59" s="3" t="b">
        <v>0</v>
      </c>
      <c r="I59" s="3">
        <v>0.4</v>
      </c>
      <c r="J59" s="5">
        <f>IF(H59,Notes!$B$4,1)*I59</f>
        <v>0.4</v>
      </c>
      <c r="K59" s="3">
        <v>50</v>
      </c>
      <c r="L59" s="3">
        <v>180</v>
      </c>
      <c r="M59" s="3">
        <v>1</v>
      </c>
      <c r="N59" s="3">
        <v>8</v>
      </c>
      <c r="O59" s="3">
        <v>0</v>
      </c>
      <c r="P59" s="3">
        <v>90</v>
      </c>
      <c r="Q59" s="6">
        <f>K59/Notes!$B$5</f>
        <v>25</v>
      </c>
      <c r="R59" s="6">
        <f>K59/(Notes!$B$5+Notes!$B$6)</f>
        <v>4.166666666666667</v>
      </c>
      <c r="S59">
        <f t="shared" si="0"/>
        <v>10.256410256410257</v>
      </c>
      <c r="T59">
        <f t="shared" si="1"/>
        <v>50</v>
      </c>
      <c r="U59">
        <f t="shared" si="2"/>
        <v>40</v>
      </c>
      <c r="V59">
        <f t="shared" si="3"/>
        <v>60</v>
      </c>
      <c r="W59">
        <f t="shared" si="4"/>
        <v>100</v>
      </c>
      <c r="X59">
        <f t="shared" si="5"/>
        <v>31.25</v>
      </c>
      <c r="Y59">
        <f t="shared" si="6"/>
        <v>0</v>
      </c>
      <c r="Z59">
        <f t="shared" si="7"/>
        <v>45</v>
      </c>
      <c r="AA59" s="11">
        <f t="shared" si="8"/>
        <v>336.50641025641028</v>
      </c>
      <c r="AB59" s="11">
        <f t="shared" si="9"/>
        <v>33.650641025641029</v>
      </c>
    </row>
    <row r="60" spans="1:28" x14ac:dyDescent="0.25">
      <c r="A60" s="2" t="s">
        <v>135</v>
      </c>
      <c r="B60" s="2" t="s">
        <v>19</v>
      </c>
      <c r="C60" s="2" t="s">
        <v>142</v>
      </c>
      <c r="D60" s="2">
        <v>746</v>
      </c>
      <c r="E60" s="2" t="s">
        <v>143</v>
      </c>
      <c r="F60" s="3">
        <v>1</v>
      </c>
      <c r="G60" s="4">
        <f>F60/SUMIFS($F:$F,$A:$A,A60,$B:$B,B60)</f>
        <v>0.01</v>
      </c>
      <c r="H60" s="3" t="b">
        <v>1</v>
      </c>
      <c r="I60" s="3">
        <v>1.2</v>
      </c>
      <c r="J60" s="5">
        <f>IF(H60,Notes!$B$4,1)*I60</f>
        <v>3.066666666666666</v>
      </c>
      <c r="K60" s="3">
        <v>220</v>
      </c>
      <c r="L60" s="3">
        <v>80</v>
      </c>
      <c r="M60" s="3">
        <v>3</v>
      </c>
      <c r="N60" s="3">
        <v>5</v>
      </c>
      <c r="O60" s="3">
        <v>125</v>
      </c>
      <c r="P60" s="3">
        <v>110</v>
      </c>
      <c r="Q60" s="6">
        <f>K60/Notes!$B$5</f>
        <v>110</v>
      </c>
      <c r="R60" s="6">
        <f>K60/(Notes!$B$5+Notes!$B$6)</f>
        <v>18.333333333333332</v>
      </c>
      <c r="S60">
        <f t="shared" si="0"/>
        <v>400</v>
      </c>
      <c r="T60">
        <f t="shared" si="1"/>
        <v>200</v>
      </c>
      <c r="U60">
        <f t="shared" si="2"/>
        <v>120</v>
      </c>
      <c r="V60">
        <f t="shared" si="3"/>
        <v>110</v>
      </c>
      <c r="W60">
        <f t="shared" si="4"/>
        <v>33.333333333333336</v>
      </c>
      <c r="X60">
        <f t="shared" si="5"/>
        <v>80</v>
      </c>
      <c r="Y60">
        <f t="shared" si="6"/>
        <v>62.5</v>
      </c>
      <c r="Z60">
        <f t="shared" si="7"/>
        <v>55</v>
      </c>
      <c r="AA60" s="11">
        <f t="shared" si="8"/>
        <v>1060.8333333333335</v>
      </c>
      <c r="AB60" s="11">
        <f t="shared" si="9"/>
        <v>106.08333333333334</v>
      </c>
    </row>
    <row r="61" spans="1:28" x14ac:dyDescent="0.25">
      <c r="A61" s="2" t="s">
        <v>135</v>
      </c>
      <c r="B61" s="2" t="s">
        <v>19</v>
      </c>
      <c r="C61" s="2" t="s">
        <v>144</v>
      </c>
      <c r="D61" s="2">
        <v>963</v>
      </c>
      <c r="E61" s="2" t="s">
        <v>145</v>
      </c>
      <c r="F61" s="3">
        <v>20</v>
      </c>
      <c r="G61" s="4">
        <f>F61/SUMIFS($F:$F,$A:$A,A61,$B:$B,B61)</f>
        <v>0.2</v>
      </c>
      <c r="H61" s="3" t="b">
        <v>0</v>
      </c>
      <c r="I61" s="3">
        <v>0.7</v>
      </c>
      <c r="J61" s="5">
        <f>IF(H61,Notes!$B$4,1)*I61</f>
        <v>0.7</v>
      </c>
      <c r="K61" s="3">
        <v>80</v>
      </c>
      <c r="L61" s="3">
        <v>130</v>
      </c>
      <c r="M61" s="3">
        <v>1.5</v>
      </c>
      <c r="N61" s="3">
        <v>7.5</v>
      </c>
      <c r="O61" s="3">
        <v>10</v>
      </c>
      <c r="P61" s="3">
        <v>120</v>
      </c>
      <c r="Q61" s="6">
        <f>K61/Notes!$B$5</f>
        <v>40</v>
      </c>
      <c r="R61" s="6">
        <f>K61/(Notes!$B$5+Notes!$B$6)</f>
        <v>6.666666666666667</v>
      </c>
      <c r="S61">
        <f t="shared" si="0"/>
        <v>20</v>
      </c>
      <c r="T61">
        <f t="shared" si="1"/>
        <v>50</v>
      </c>
      <c r="U61">
        <f t="shared" si="2"/>
        <v>70</v>
      </c>
      <c r="V61">
        <f t="shared" si="3"/>
        <v>85</v>
      </c>
      <c r="W61">
        <f t="shared" si="4"/>
        <v>66.666666666666671</v>
      </c>
      <c r="X61">
        <f t="shared" si="5"/>
        <v>35.555555555555557</v>
      </c>
      <c r="Y61">
        <f t="shared" si="6"/>
        <v>5</v>
      </c>
      <c r="Z61">
        <f t="shared" si="7"/>
        <v>60</v>
      </c>
      <c r="AA61" s="11">
        <f t="shared" si="8"/>
        <v>392.22222222222223</v>
      </c>
      <c r="AB61" s="11">
        <f t="shared" si="9"/>
        <v>39.222222222222221</v>
      </c>
    </row>
    <row r="62" spans="1:28" x14ac:dyDescent="0.25">
      <c r="A62" s="2" t="s">
        <v>135</v>
      </c>
      <c r="B62" s="2" t="s">
        <v>19</v>
      </c>
      <c r="C62" s="2" t="s">
        <v>146</v>
      </c>
      <c r="D62" s="2">
        <v>964</v>
      </c>
      <c r="E62" s="2" t="s">
        <v>147</v>
      </c>
      <c r="F62" s="3">
        <v>2</v>
      </c>
      <c r="G62" s="4">
        <f>F62/SUMIFS($F:$F,$A:$A,A62,$B:$B,B62)</f>
        <v>0.02</v>
      </c>
      <c r="H62" s="3" t="b">
        <v>1</v>
      </c>
      <c r="I62" s="3">
        <v>0.8</v>
      </c>
      <c r="J62" s="5">
        <f>IF(H62,Notes!$B$4,1)*I62</f>
        <v>2.0444444444444438</v>
      </c>
      <c r="K62" s="3">
        <v>200</v>
      </c>
      <c r="L62" s="3">
        <v>80</v>
      </c>
      <c r="M62" s="3">
        <v>1.5</v>
      </c>
      <c r="N62" s="3">
        <v>5</v>
      </c>
      <c r="O62" s="3">
        <v>125</v>
      </c>
      <c r="P62" s="3">
        <v>150</v>
      </c>
      <c r="Q62" s="6">
        <f>K62/Notes!$B$5</f>
        <v>100</v>
      </c>
      <c r="R62" s="6">
        <f>K62/(Notes!$B$5+Notes!$B$6)</f>
        <v>16.666666666666668</v>
      </c>
      <c r="S62">
        <f t="shared" si="0"/>
        <v>200</v>
      </c>
      <c r="T62">
        <f t="shared" si="1"/>
        <v>200</v>
      </c>
      <c r="U62">
        <f t="shared" si="2"/>
        <v>80</v>
      </c>
      <c r="V62">
        <f t="shared" si="3"/>
        <v>110</v>
      </c>
      <c r="W62">
        <f t="shared" si="4"/>
        <v>66.666666666666671</v>
      </c>
      <c r="X62">
        <f t="shared" si="5"/>
        <v>80</v>
      </c>
      <c r="Y62">
        <f t="shared" si="6"/>
        <v>62.5</v>
      </c>
      <c r="Z62">
        <f t="shared" si="7"/>
        <v>75</v>
      </c>
      <c r="AA62" s="11">
        <f t="shared" si="8"/>
        <v>874.16666666666663</v>
      </c>
      <c r="AB62" s="11">
        <f t="shared" si="9"/>
        <v>87.416666666666657</v>
      </c>
    </row>
    <row r="63" spans="1:28" x14ac:dyDescent="0.25">
      <c r="A63" s="2" t="s">
        <v>135</v>
      </c>
      <c r="B63" s="2" t="s">
        <v>28</v>
      </c>
      <c r="C63" s="2" t="s">
        <v>148</v>
      </c>
      <c r="D63" s="2">
        <v>320</v>
      </c>
      <c r="E63" s="2" t="s">
        <v>149</v>
      </c>
      <c r="F63" s="3">
        <v>19</v>
      </c>
      <c r="G63" s="4">
        <f>F63/SUMIFS($F:$F,$A:$A,A63,$B:$B,B63)</f>
        <v>0.19</v>
      </c>
      <c r="H63" s="3" t="b">
        <v>1</v>
      </c>
      <c r="I63" s="3">
        <v>1.5</v>
      </c>
      <c r="J63" s="5">
        <f>IF(H63,Notes!$B$4,1)*I63</f>
        <v>3.8333333333333321</v>
      </c>
      <c r="K63" s="3">
        <v>250</v>
      </c>
      <c r="L63" s="3">
        <v>150</v>
      </c>
      <c r="M63" s="3">
        <v>4.5</v>
      </c>
      <c r="N63" s="3">
        <v>4</v>
      </c>
      <c r="O63" s="3">
        <v>0</v>
      </c>
      <c r="P63" s="3">
        <v>50</v>
      </c>
      <c r="Q63" s="6">
        <f>K63/Notes!$B$5</f>
        <v>125</v>
      </c>
      <c r="R63" s="6">
        <f>K63/(Notes!$B$5+Notes!$B$6)</f>
        <v>20.833333333333332</v>
      </c>
      <c r="S63">
        <f t="shared" si="0"/>
        <v>21.05263157894737</v>
      </c>
      <c r="T63">
        <f t="shared" si="1"/>
        <v>200</v>
      </c>
      <c r="U63">
        <f t="shared" si="2"/>
        <v>150</v>
      </c>
      <c r="V63">
        <f t="shared" si="3"/>
        <v>75</v>
      </c>
      <c r="W63">
        <f t="shared" si="4"/>
        <v>22.222222222222221</v>
      </c>
      <c r="X63">
        <f t="shared" si="5"/>
        <v>125</v>
      </c>
      <c r="Y63">
        <f t="shared" si="6"/>
        <v>0</v>
      </c>
      <c r="Z63">
        <f t="shared" si="7"/>
        <v>25</v>
      </c>
      <c r="AA63" s="11">
        <f t="shared" si="8"/>
        <v>618.27485380116968</v>
      </c>
      <c r="AB63" s="11">
        <f t="shared" si="9"/>
        <v>61.827485380116968</v>
      </c>
    </row>
    <row r="64" spans="1:28" x14ac:dyDescent="0.25">
      <c r="A64" s="2" t="s">
        <v>135</v>
      </c>
      <c r="B64" s="2" t="s">
        <v>28</v>
      </c>
      <c r="C64" s="2" t="s">
        <v>150</v>
      </c>
      <c r="D64" s="2">
        <v>321</v>
      </c>
      <c r="E64" s="2" t="s">
        <v>151</v>
      </c>
      <c r="F64" s="3">
        <v>1</v>
      </c>
      <c r="G64" s="4">
        <f>F64/SUMIFS($F:$F,$A:$A,A64,$B:$B,B64)</f>
        <v>0.01</v>
      </c>
      <c r="H64" s="3" t="b">
        <v>1</v>
      </c>
      <c r="I64" s="3">
        <v>2.5</v>
      </c>
      <c r="J64" s="5">
        <f>IF(H64,Notes!$B$4,1)*I64</f>
        <v>6.3888888888888875</v>
      </c>
      <c r="K64" s="3">
        <v>500</v>
      </c>
      <c r="L64" s="3">
        <v>120</v>
      </c>
      <c r="M64" s="3">
        <v>4</v>
      </c>
      <c r="N64" s="3">
        <v>3</v>
      </c>
      <c r="O64" s="3">
        <v>150</v>
      </c>
      <c r="P64" s="3">
        <v>100</v>
      </c>
      <c r="Q64" s="6">
        <f>K64/Notes!$B$5</f>
        <v>250</v>
      </c>
      <c r="R64" s="6">
        <f>K64/(Notes!$B$5+Notes!$B$6)</f>
        <v>41.666666666666664</v>
      </c>
      <c r="S64">
        <f t="shared" si="0"/>
        <v>400</v>
      </c>
      <c r="T64">
        <f t="shared" si="1"/>
        <v>200</v>
      </c>
      <c r="U64">
        <f t="shared" si="2"/>
        <v>250</v>
      </c>
      <c r="V64">
        <f t="shared" si="3"/>
        <v>90</v>
      </c>
      <c r="W64">
        <f t="shared" si="4"/>
        <v>25</v>
      </c>
      <c r="X64">
        <f t="shared" si="5"/>
        <v>222.22222222222223</v>
      </c>
      <c r="Y64">
        <f t="shared" si="6"/>
        <v>75</v>
      </c>
      <c r="Z64">
        <f t="shared" si="7"/>
        <v>50</v>
      </c>
      <c r="AA64" s="11">
        <f t="shared" si="8"/>
        <v>1312.2222222222222</v>
      </c>
      <c r="AB64" s="11">
        <f t="shared" si="9"/>
        <v>131.22222222222223</v>
      </c>
    </row>
    <row r="65" spans="1:28" x14ac:dyDescent="0.25">
      <c r="A65" s="2" t="s">
        <v>135</v>
      </c>
      <c r="B65" s="2" t="s">
        <v>28</v>
      </c>
      <c r="C65" s="2" t="s">
        <v>152</v>
      </c>
      <c r="D65" s="2">
        <v>846</v>
      </c>
      <c r="E65" s="2" t="s">
        <v>153</v>
      </c>
      <c r="F65" s="3">
        <v>30</v>
      </c>
      <c r="G65" s="4">
        <f>F65/SUMIFS($F:$F,$A:$A,A65,$B:$B,B65)</f>
        <v>0.3</v>
      </c>
      <c r="H65" s="3" t="b">
        <v>0</v>
      </c>
      <c r="I65" s="3">
        <v>0.8</v>
      </c>
      <c r="J65" s="5">
        <f>IF(H65,Notes!$B$4,1)*I65</f>
        <v>0.8</v>
      </c>
      <c r="K65" s="3">
        <v>85</v>
      </c>
      <c r="L65" s="3">
        <v>110</v>
      </c>
      <c r="M65" s="3">
        <v>1.5</v>
      </c>
      <c r="N65" s="3">
        <v>7</v>
      </c>
      <c r="O65" s="3">
        <v>40</v>
      </c>
      <c r="P65" s="3">
        <v>130</v>
      </c>
      <c r="Q65" s="6">
        <f>K65/Notes!$B$5</f>
        <v>42.5</v>
      </c>
      <c r="R65" s="6">
        <f>K65/(Notes!$B$5+Notes!$B$6)</f>
        <v>7.083333333333333</v>
      </c>
      <c r="S65">
        <f t="shared" si="0"/>
        <v>13.333333333333334</v>
      </c>
      <c r="T65">
        <f t="shared" si="1"/>
        <v>50</v>
      </c>
      <c r="U65">
        <f t="shared" si="2"/>
        <v>80</v>
      </c>
      <c r="V65">
        <f t="shared" si="3"/>
        <v>95</v>
      </c>
      <c r="W65">
        <f t="shared" si="4"/>
        <v>66.666666666666671</v>
      </c>
      <c r="X65">
        <f t="shared" si="5"/>
        <v>40.816326530612244</v>
      </c>
      <c r="Y65">
        <f t="shared" si="6"/>
        <v>20</v>
      </c>
      <c r="Z65">
        <f t="shared" si="7"/>
        <v>65</v>
      </c>
      <c r="AA65" s="11">
        <f t="shared" si="8"/>
        <v>430.81632653061223</v>
      </c>
      <c r="AB65" s="11">
        <f t="shared" si="9"/>
        <v>43.08163265306122</v>
      </c>
    </row>
    <row r="66" spans="1:28" x14ac:dyDescent="0.25">
      <c r="A66" s="2" t="s">
        <v>135</v>
      </c>
      <c r="B66" s="2" t="s">
        <v>28</v>
      </c>
      <c r="C66" s="2" t="s">
        <v>154</v>
      </c>
      <c r="D66" s="2">
        <v>847</v>
      </c>
      <c r="E66" s="2" t="s">
        <v>155</v>
      </c>
      <c r="F66" s="3">
        <v>10</v>
      </c>
      <c r="G66" s="4">
        <f>F66/SUMIFS($F:$F,$A:$A,A66,$B:$B,B66)</f>
        <v>0.1</v>
      </c>
      <c r="H66" s="3" t="b">
        <v>1</v>
      </c>
      <c r="I66" s="3">
        <v>0.9</v>
      </c>
      <c r="J66" s="5">
        <f>IF(H66,Notes!$B$4,1)*I66</f>
        <v>2.2999999999999994</v>
      </c>
      <c r="K66" s="3">
        <v>150</v>
      </c>
      <c r="L66" s="3">
        <v>80</v>
      </c>
      <c r="M66" s="3">
        <v>1.5</v>
      </c>
      <c r="N66" s="3">
        <v>5</v>
      </c>
      <c r="O66" s="3">
        <v>125</v>
      </c>
      <c r="P66" s="3">
        <v>150</v>
      </c>
      <c r="Q66" s="6">
        <f>K66/Notes!$B$5</f>
        <v>75</v>
      </c>
      <c r="R66" s="6">
        <f>K66/(Notes!$B$5+Notes!$B$6)</f>
        <v>12.5</v>
      </c>
      <c r="S66">
        <f t="shared" si="0"/>
        <v>40</v>
      </c>
      <c r="T66">
        <f t="shared" si="1"/>
        <v>200</v>
      </c>
      <c r="U66">
        <f t="shared" si="2"/>
        <v>90</v>
      </c>
      <c r="V66">
        <f t="shared" si="3"/>
        <v>110</v>
      </c>
      <c r="W66">
        <f t="shared" si="4"/>
        <v>66.666666666666671</v>
      </c>
      <c r="X66">
        <f t="shared" si="5"/>
        <v>80</v>
      </c>
      <c r="Y66">
        <f t="shared" si="6"/>
        <v>62.5</v>
      </c>
      <c r="Z66">
        <f t="shared" si="7"/>
        <v>75</v>
      </c>
      <c r="AA66" s="11">
        <f t="shared" si="8"/>
        <v>724.16666666666674</v>
      </c>
      <c r="AB66" s="11">
        <f t="shared" si="9"/>
        <v>72.416666666666671</v>
      </c>
    </row>
    <row r="67" spans="1:28" x14ac:dyDescent="0.25">
      <c r="A67" s="2" t="s">
        <v>135</v>
      </c>
      <c r="B67" s="2" t="s">
        <v>28</v>
      </c>
      <c r="C67" s="2" t="s">
        <v>156</v>
      </c>
      <c r="D67" s="2">
        <v>223</v>
      </c>
      <c r="E67" s="2" t="s">
        <v>157</v>
      </c>
      <c r="F67" s="3">
        <v>35</v>
      </c>
      <c r="G67" s="4">
        <f>F67/SUMIFS($F:$F,$A:$A,A67,$B:$B,B67)</f>
        <v>0.35</v>
      </c>
      <c r="H67" s="3" t="b">
        <v>0</v>
      </c>
      <c r="I67" s="3">
        <v>0.5</v>
      </c>
      <c r="J67" s="5">
        <f>IF(H67,Notes!$B$4,1)*I67</f>
        <v>0.5</v>
      </c>
      <c r="K67" s="3">
        <v>70</v>
      </c>
      <c r="L67" s="3">
        <v>90</v>
      </c>
      <c r="M67" s="3">
        <v>2</v>
      </c>
      <c r="N67" s="3">
        <v>7</v>
      </c>
      <c r="O67" s="3">
        <v>100</v>
      </c>
      <c r="P67" s="3">
        <v>120</v>
      </c>
      <c r="Q67" s="6">
        <f>K67/Notes!$B$5</f>
        <v>35</v>
      </c>
      <c r="R67" s="6">
        <f>K67/(Notes!$B$5+Notes!$B$6)</f>
        <v>5.833333333333333</v>
      </c>
      <c r="S67">
        <f t="shared" ref="S67:S78" si="10">200/(F67/2)</f>
        <v>11.428571428571429</v>
      </c>
      <c r="T67">
        <f t="shared" ref="T67:T78" si="11">IF(H67,200,50)</f>
        <v>50</v>
      </c>
      <c r="U67">
        <f t="shared" ref="U67:U78" si="12">100-(100*((1-I67)/2))*2</f>
        <v>50</v>
      </c>
      <c r="V67">
        <f t="shared" ref="V67:V78" si="13">100+(100-L67)/2</f>
        <v>105</v>
      </c>
      <c r="W67">
        <f t="shared" ref="W67:W78" si="14">(100/M67)</f>
        <v>50</v>
      </c>
      <c r="X67">
        <f t="shared" ref="X67:X78" si="15">200/(N67*N67)*10</f>
        <v>40.816326530612244</v>
      </c>
      <c r="Y67">
        <f t="shared" ref="Y67:Y78" si="16">O67/2</f>
        <v>50</v>
      </c>
      <c r="Z67">
        <f t="shared" ref="Z67:Z78" si="17">P67/2</f>
        <v>60</v>
      </c>
      <c r="AA67" s="11">
        <f t="shared" ref="AA67:AA78" si="18">SUM(S67:Z67)</f>
        <v>417.24489795918367</v>
      </c>
      <c r="AB67" s="11">
        <f t="shared" ref="AB67:AB78" si="19">AA67/10</f>
        <v>41.724489795918366</v>
      </c>
    </row>
    <row r="68" spans="1:28" x14ac:dyDescent="0.25">
      <c r="A68" s="2" t="s">
        <v>135</v>
      </c>
      <c r="B68" s="2" t="s">
        <v>28</v>
      </c>
      <c r="C68" s="2" t="s">
        <v>158</v>
      </c>
      <c r="D68" s="2">
        <v>224</v>
      </c>
      <c r="E68" s="2" t="s">
        <v>159</v>
      </c>
      <c r="F68" s="3">
        <v>5</v>
      </c>
      <c r="G68" s="4">
        <f>F68/SUMIFS($F:$F,$A:$A,A68,$B:$B,B68)</f>
        <v>0.05</v>
      </c>
      <c r="H68" s="3" t="b">
        <v>1</v>
      </c>
      <c r="I68" s="3">
        <v>0.9</v>
      </c>
      <c r="J68" s="5">
        <f>IF(H68,Notes!$B$4,1)*I68</f>
        <v>2.2999999999999994</v>
      </c>
      <c r="K68" s="3">
        <v>140</v>
      </c>
      <c r="L68" s="3">
        <v>110</v>
      </c>
      <c r="M68" s="3">
        <v>2.5</v>
      </c>
      <c r="N68" s="3">
        <v>4</v>
      </c>
      <c r="O68" s="3">
        <v>100</v>
      </c>
      <c r="P68" s="3">
        <v>125</v>
      </c>
      <c r="Q68" s="6">
        <f>K68/Notes!$B$5</f>
        <v>70</v>
      </c>
      <c r="R68" s="6">
        <f>K68/(Notes!$B$5+Notes!$B$6)</f>
        <v>11.666666666666666</v>
      </c>
      <c r="S68">
        <f t="shared" si="10"/>
        <v>80</v>
      </c>
      <c r="T68">
        <f t="shared" si="11"/>
        <v>200</v>
      </c>
      <c r="U68">
        <f t="shared" si="12"/>
        <v>90</v>
      </c>
      <c r="V68">
        <f t="shared" si="13"/>
        <v>95</v>
      </c>
      <c r="W68">
        <f t="shared" si="14"/>
        <v>40</v>
      </c>
      <c r="X68">
        <f t="shared" si="15"/>
        <v>125</v>
      </c>
      <c r="Y68">
        <f t="shared" si="16"/>
        <v>50</v>
      </c>
      <c r="Z68">
        <f t="shared" si="17"/>
        <v>62.5</v>
      </c>
      <c r="AA68" s="11">
        <f t="shared" si="18"/>
        <v>742.5</v>
      </c>
      <c r="AB68" s="11">
        <f t="shared" si="19"/>
        <v>74.25</v>
      </c>
    </row>
    <row r="69" spans="1:28" x14ac:dyDescent="0.25">
      <c r="A69" s="2" t="s">
        <v>135</v>
      </c>
      <c r="B69" s="2" t="s">
        <v>37</v>
      </c>
      <c r="C69" s="2" t="s">
        <v>160</v>
      </c>
      <c r="D69" s="2">
        <v>366</v>
      </c>
      <c r="E69" s="2" t="s">
        <v>161</v>
      </c>
      <c r="F69" s="3">
        <v>40</v>
      </c>
      <c r="G69" s="4">
        <f>F69/SUMIFS($F:$F,$A:$A,A69,$B:$B,B69)</f>
        <v>0.4</v>
      </c>
      <c r="H69" s="3" t="b">
        <v>0</v>
      </c>
      <c r="I69" s="3">
        <v>0.6</v>
      </c>
      <c r="J69" s="5">
        <f>IF(H69,Notes!$B$4,1)*I69</f>
        <v>0.6</v>
      </c>
      <c r="K69" s="3">
        <v>70</v>
      </c>
      <c r="L69" s="3">
        <v>150</v>
      </c>
      <c r="M69" s="3">
        <v>2.5</v>
      </c>
      <c r="N69" s="3">
        <v>8</v>
      </c>
      <c r="O69" s="3">
        <v>0</v>
      </c>
      <c r="P69" s="3">
        <v>70</v>
      </c>
      <c r="Q69" s="6">
        <f>K69/Notes!$B$5</f>
        <v>35</v>
      </c>
      <c r="R69" s="6">
        <f>K69/(Notes!$B$5+Notes!$B$6)</f>
        <v>5.833333333333333</v>
      </c>
      <c r="S69">
        <f t="shared" si="10"/>
        <v>10</v>
      </c>
      <c r="T69">
        <f t="shared" si="11"/>
        <v>50</v>
      </c>
      <c r="U69">
        <f t="shared" si="12"/>
        <v>60</v>
      </c>
      <c r="V69">
        <f t="shared" si="13"/>
        <v>75</v>
      </c>
      <c r="W69">
        <f t="shared" si="14"/>
        <v>40</v>
      </c>
      <c r="X69">
        <f t="shared" si="15"/>
        <v>31.25</v>
      </c>
      <c r="Y69">
        <f t="shared" si="16"/>
        <v>0</v>
      </c>
      <c r="Z69">
        <f t="shared" si="17"/>
        <v>35</v>
      </c>
      <c r="AA69" s="11">
        <f t="shared" si="18"/>
        <v>301.25</v>
      </c>
      <c r="AB69" s="11">
        <f t="shared" si="19"/>
        <v>30.125</v>
      </c>
    </row>
    <row r="70" spans="1:28" x14ac:dyDescent="0.25">
      <c r="A70" s="2" t="s">
        <v>135</v>
      </c>
      <c r="B70" s="2" t="s">
        <v>37</v>
      </c>
      <c r="C70" s="2" t="s">
        <v>162</v>
      </c>
      <c r="D70" s="2">
        <v>368</v>
      </c>
      <c r="E70" s="2" t="s">
        <v>163</v>
      </c>
      <c r="F70" s="3">
        <v>8</v>
      </c>
      <c r="G70" s="4">
        <f>F70/SUMIFS($F:$F,$A:$A,A70,$B:$B,B70)</f>
        <v>0.08</v>
      </c>
      <c r="H70" s="3" t="b">
        <v>1</v>
      </c>
      <c r="I70" s="3">
        <v>1.5</v>
      </c>
      <c r="J70" s="5">
        <f>IF(H70,Notes!$B$4,1)*I70</f>
        <v>3.8333333333333321</v>
      </c>
      <c r="K70" s="3">
        <v>140</v>
      </c>
      <c r="L70" s="3">
        <v>110</v>
      </c>
      <c r="M70" s="3">
        <v>2.5</v>
      </c>
      <c r="N70" s="3">
        <v>6</v>
      </c>
      <c r="O70" s="3">
        <v>75</v>
      </c>
      <c r="P70" s="3">
        <v>100</v>
      </c>
      <c r="Q70" s="6">
        <f>K70/Notes!$B$5</f>
        <v>70</v>
      </c>
      <c r="R70" s="6">
        <f>K70/(Notes!$B$5+Notes!$B$6)</f>
        <v>11.666666666666666</v>
      </c>
      <c r="S70">
        <f t="shared" si="10"/>
        <v>50</v>
      </c>
      <c r="T70">
        <f t="shared" si="11"/>
        <v>200</v>
      </c>
      <c r="U70">
        <f t="shared" si="12"/>
        <v>150</v>
      </c>
      <c r="V70">
        <f t="shared" si="13"/>
        <v>95</v>
      </c>
      <c r="W70">
        <f t="shared" si="14"/>
        <v>40</v>
      </c>
      <c r="X70">
        <f t="shared" si="15"/>
        <v>55.555555555555557</v>
      </c>
      <c r="Y70">
        <f t="shared" si="16"/>
        <v>37.5</v>
      </c>
      <c r="Z70">
        <f t="shared" si="17"/>
        <v>50</v>
      </c>
      <c r="AA70" s="11">
        <f t="shared" si="18"/>
        <v>678.05555555555554</v>
      </c>
      <c r="AB70" s="11">
        <f t="shared" si="19"/>
        <v>67.805555555555557</v>
      </c>
    </row>
    <row r="71" spans="1:28" x14ac:dyDescent="0.25">
      <c r="A71" s="2" t="s">
        <v>135</v>
      </c>
      <c r="B71" s="2" t="s">
        <v>37</v>
      </c>
      <c r="C71" s="2" t="s">
        <v>164</v>
      </c>
      <c r="D71" s="2">
        <v>367</v>
      </c>
      <c r="E71" s="2" t="s">
        <v>165</v>
      </c>
      <c r="F71" s="3">
        <v>8</v>
      </c>
      <c r="G71" s="4">
        <f>F71/SUMIFS($F:$F,$A:$A,A71,$B:$B,B71)</f>
        <v>0.08</v>
      </c>
      <c r="H71" s="3" t="b">
        <v>1</v>
      </c>
      <c r="I71" s="3">
        <v>1.1000000000000001</v>
      </c>
      <c r="J71" s="5">
        <f>IF(H71,Notes!$B$4,1)*I71</f>
        <v>2.8111111111111104</v>
      </c>
      <c r="K71" s="3">
        <v>75</v>
      </c>
      <c r="L71" s="3">
        <v>75</v>
      </c>
      <c r="M71" s="3">
        <v>2</v>
      </c>
      <c r="N71" s="3">
        <v>6</v>
      </c>
      <c r="O71" s="3">
        <v>100</v>
      </c>
      <c r="P71" s="3">
        <v>180</v>
      </c>
      <c r="Q71" s="6">
        <f>K71/Notes!$B$5</f>
        <v>37.5</v>
      </c>
      <c r="R71" s="6">
        <f>K71/(Notes!$B$5+Notes!$B$6)</f>
        <v>6.25</v>
      </c>
      <c r="S71">
        <f t="shared" si="10"/>
        <v>50</v>
      </c>
      <c r="T71">
        <f t="shared" si="11"/>
        <v>200</v>
      </c>
      <c r="U71">
        <f t="shared" si="12"/>
        <v>110.00000000000001</v>
      </c>
      <c r="V71">
        <f t="shared" si="13"/>
        <v>112.5</v>
      </c>
      <c r="W71">
        <f t="shared" si="14"/>
        <v>50</v>
      </c>
      <c r="X71">
        <f t="shared" si="15"/>
        <v>55.555555555555557</v>
      </c>
      <c r="Y71">
        <f t="shared" si="16"/>
        <v>50</v>
      </c>
      <c r="Z71">
        <f t="shared" si="17"/>
        <v>90</v>
      </c>
      <c r="AA71" s="11">
        <f t="shared" si="18"/>
        <v>718.05555555555554</v>
      </c>
      <c r="AB71" s="11">
        <f t="shared" si="19"/>
        <v>71.805555555555557</v>
      </c>
    </row>
    <row r="72" spans="1:28" x14ac:dyDescent="0.25">
      <c r="A72" s="2" t="s">
        <v>135</v>
      </c>
      <c r="B72" s="2" t="s">
        <v>37</v>
      </c>
      <c r="C72" s="2" t="s">
        <v>166</v>
      </c>
      <c r="D72" s="2">
        <v>976</v>
      </c>
      <c r="E72" s="2" t="s">
        <v>167</v>
      </c>
      <c r="F72" s="3">
        <v>10</v>
      </c>
      <c r="G72" s="4">
        <f>F72/SUMIFS($F:$F,$A:$A,A72,$B:$B,B72)</f>
        <v>0.1</v>
      </c>
      <c r="H72" s="3" t="b">
        <v>1</v>
      </c>
      <c r="I72" s="3">
        <v>1</v>
      </c>
      <c r="J72" s="5">
        <f>IF(H72,Notes!$B$4,1)*I72</f>
        <v>2.5555555555555549</v>
      </c>
      <c r="K72" s="3">
        <v>190</v>
      </c>
      <c r="L72" s="3">
        <v>85</v>
      </c>
      <c r="M72" s="3">
        <v>2</v>
      </c>
      <c r="N72" s="3">
        <v>5</v>
      </c>
      <c r="O72" s="3">
        <v>125</v>
      </c>
      <c r="P72" s="3">
        <v>130</v>
      </c>
      <c r="Q72" s="6">
        <f>K72/Notes!$B$5</f>
        <v>95</v>
      </c>
      <c r="R72" s="6">
        <f>K72/(Notes!$B$5+Notes!$B$6)</f>
        <v>15.833333333333334</v>
      </c>
      <c r="S72">
        <f t="shared" si="10"/>
        <v>40</v>
      </c>
      <c r="T72">
        <f t="shared" si="11"/>
        <v>200</v>
      </c>
      <c r="U72">
        <f t="shared" si="12"/>
        <v>100</v>
      </c>
      <c r="V72">
        <f t="shared" si="13"/>
        <v>107.5</v>
      </c>
      <c r="W72">
        <f t="shared" si="14"/>
        <v>50</v>
      </c>
      <c r="X72">
        <f t="shared" si="15"/>
        <v>80</v>
      </c>
      <c r="Y72">
        <f t="shared" si="16"/>
        <v>62.5</v>
      </c>
      <c r="Z72">
        <f t="shared" si="17"/>
        <v>65</v>
      </c>
      <c r="AA72" s="11">
        <f t="shared" si="18"/>
        <v>705</v>
      </c>
      <c r="AB72" s="11">
        <f t="shared" si="19"/>
        <v>70.5</v>
      </c>
    </row>
    <row r="73" spans="1:28" x14ac:dyDescent="0.25">
      <c r="A73" s="2" t="s">
        <v>135</v>
      </c>
      <c r="B73" s="2" t="s">
        <v>37</v>
      </c>
      <c r="C73" s="2" t="s">
        <v>168</v>
      </c>
      <c r="D73" s="2">
        <v>369</v>
      </c>
      <c r="E73" s="2" t="s">
        <v>169</v>
      </c>
      <c r="F73" s="3">
        <v>34</v>
      </c>
      <c r="G73" s="4">
        <f>F73/SUMIFS($F:$F,$A:$A,A73,$B:$B,B73)</f>
        <v>0.34</v>
      </c>
      <c r="H73" s="3" t="b">
        <v>0</v>
      </c>
      <c r="I73" s="3">
        <v>1.2</v>
      </c>
      <c r="J73" s="5">
        <f>IF(H73,Notes!$B$4,1)*I73</f>
        <v>1.2</v>
      </c>
      <c r="K73" s="3">
        <v>200</v>
      </c>
      <c r="L73" s="3">
        <v>150</v>
      </c>
      <c r="M73" s="3">
        <v>3.5</v>
      </c>
      <c r="N73" s="3">
        <v>5</v>
      </c>
      <c r="O73" s="3">
        <v>60</v>
      </c>
      <c r="P73" s="3">
        <v>50</v>
      </c>
      <c r="Q73" s="6">
        <f>K73/Notes!$B$5</f>
        <v>100</v>
      </c>
      <c r="R73" s="6">
        <f>K73/(Notes!$B$5+Notes!$B$6)</f>
        <v>16.666666666666668</v>
      </c>
      <c r="S73">
        <f t="shared" si="10"/>
        <v>11.764705882352942</v>
      </c>
      <c r="T73">
        <f t="shared" si="11"/>
        <v>50</v>
      </c>
      <c r="U73">
        <f t="shared" si="12"/>
        <v>120</v>
      </c>
      <c r="V73">
        <f t="shared" si="13"/>
        <v>75</v>
      </c>
      <c r="W73">
        <f t="shared" si="14"/>
        <v>28.571428571428573</v>
      </c>
      <c r="X73">
        <f t="shared" si="15"/>
        <v>80</v>
      </c>
      <c r="Y73">
        <f t="shared" si="16"/>
        <v>30</v>
      </c>
      <c r="Z73">
        <f t="shared" si="17"/>
        <v>25</v>
      </c>
      <c r="AA73" s="11">
        <f t="shared" si="18"/>
        <v>420.33613445378148</v>
      </c>
      <c r="AB73" s="11">
        <f t="shared" si="19"/>
        <v>42.033613445378151</v>
      </c>
    </row>
    <row r="74" spans="1:28" x14ac:dyDescent="0.25">
      <c r="A74" s="2" t="s">
        <v>135</v>
      </c>
      <c r="B74" s="2" t="s">
        <v>46</v>
      </c>
      <c r="C74" s="2" t="s">
        <v>170</v>
      </c>
      <c r="D74" s="2">
        <v>686</v>
      </c>
      <c r="E74" s="2" t="s">
        <v>171</v>
      </c>
      <c r="F74" s="3">
        <v>33</v>
      </c>
      <c r="G74" s="4">
        <f>F74/SUMIFS($F:$F,$A:$A,A74,$B:$B,B74)</f>
        <v>0.33</v>
      </c>
      <c r="H74" s="3" t="b">
        <v>0</v>
      </c>
      <c r="I74" s="3">
        <v>0.7</v>
      </c>
      <c r="J74" s="5">
        <f>IF(H74,Notes!$B$4,1)*I74</f>
        <v>0.7</v>
      </c>
      <c r="K74" s="3">
        <v>85</v>
      </c>
      <c r="L74" s="3">
        <v>120</v>
      </c>
      <c r="M74" s="3">
        <v>2</v>
      </c>
      <c r="N74" s="3">
        <v>7</v>
      </c>
      <c r="O74" s="3">
        <v>10</v>
      </c>
      <c r="P74" s="3">
        <v>80</v>
      </c>
      <c r="Q74" s="6">
        <f>K74/Notes!$B$5</f>
        <v>42.5</v>
      </c>
      <c r="R74" s="6">
        <f>K74/(Notes!$B$5+Notes!$B$6)</f>
        <v>7.083333333333333</v>
      </c>
      <c r="S74">
        <f t="shared" si="10"/>
        <v>12.121212121212121</v>
      </c>
      <c r="T74">
        <f t="shared" si="11"/>
        <v>50</v>
      </c>
      <c r="U74">
        <f t="shared" si="12"/>
        <v>70</v>
      </c>
      <c r="V74">
        <f t="shared" si="13"/>
        <v>90</v>
      </c>
      <c r="W74">
        <f t="shared" si="14"/>
        <v>50</v>
      </c>
      <c r="X74">
        <f t="shared" si="15"/>
        <v>40.816326530612244</v>
      </c>
      <c r="Y74">
        <f t="shared" si="16"/>
        <v>5</v>
      </c>
      <c r="Z74">
        <f t="shared" si="17"/>
        <v>40</v>
      </c>
      <c r="AA74" s="11">
        <f t="shared" si="18"/>
        <v>357.93753865182435</v>
      </c>
      <c r="AB74" s="11">
        <f t="shared" si="19"/>
        <v>35.793753865182438</v>
      </c>
    </row>
    <row r="75" spans="1:28" x14ac:dyDescent="0.25">
      <c r="A75" s="2" t="s">
        <v>135</v>
      </c>
      <c r="B75" s="2" t="s">
        <v>46</v>
      </c>
      <c r="C75" s="2" t="s">
        <v>172</v>
      </c>
      <c r="D75" s="2">
        <v>687</v>
      </c>
      <c r="E75" s="2" t="s">
        <v>173</v>
      </c>
      <c r="F75" s="3">
        <v>8</v>
      </c>
      <c r="G75" s="4">
        <f>F75/SUMIFS($F:$F,$A:$A,A75,$B:$B,B75)</f>
        <v>0.08</v>
      </c>
      <c r="H75" s="3" t="b">
        <v>1</v>
      </c>
      <c r="I75" s="3">
        <v>0.7</v>
      </c>
      <c r="J75" s="5">
        <f>IF(H75,Notes!$B$4,1)*I75</f>
        <v>1.7888888888888883</v>
      </c>
      <c r="K75" s="3">
        <v>150</v>
      </c>
      <c r="L75" s="3">
        <v>85</v>
      </c>
      <c r="M75" s="3">
        <v>1.5</v>
      </c>
      <c r="N75" s="3">
        <v>5</v>
      </c>
      <c r="O75" s="3">
        <v>100</v>
      </c>
      <c r="P75" s="3">
        <v>120</v>
      </c>
      <c r="Q75" s="6">
        <f>K75/Notes!$B$5</f>
        <v>75</v>
      </c>
      <c r="R75" s="6">
        <f>K75/(Notes!$B$5+Notes!$B$6)</f>
        <v>12.5</v>
      </c>
      <c r="S75">
        <f t="shared" si="10"/>
        <v>50</v>
      </c>
      <c r="T75">
        <f t="shared" si="11"/>
        <v>200</v>
      </c>
      <c r="U75">
        <f t="shared" si="12"/>
        <v>70</v>
      </c>
      <c r="V75">
        <f t="shared" si="13"/>
        <v>107.5</v>
      </c>
      <c r="W75">
        <f t="shared" si="14"/>
        <v>66.666666666666671</v>
      </c>
      <c r="X75">
        <f t="shared" si="15"/>
        <v>80</v>
      </c>
      <c r="Y75">
        <f t="shared" si="16"/>
        <v>50</v>
      </c>
      <c r="Z75">
        <f t="shared" si="17"/>
        <v>60</v>
      </c>
      <c r="AA75" s="11">
        <f t="shared" si="18"/>
        <v>684.16666666666674</v>
      </c>
      <c r="AB75" s="11">
        <f t="shared" si="19"/>
        <v>68.416666666666671</v>
      </c>
    </row>
    <row r="76" spans="1:28" x14ac:dyDescent="0.25">
      <c r="A76" s="2" t="s">
        <v>135</v>
      </c>
      <c r="B76" s="2" t="s">
        <v>46</v>
      </c>
      <c r="C76" s="2" t="s">
        <v>174</v>
      </c>
      <c r="D76" s="2">
        <v>318</v>
      </c>
      <c r="E76" s="2" t="s">
        <v>175</v>
      </c>
      <c r="F76" s="3">
        <v>39</v>
      </c>
      <c r="G76" s="4">
        <f>F76/SUMIFS($F:$F,$A:$A,A76,$B:$B,B76)</f>
        <v>0.39</v>
      </c>
      <c r="H76" s="3" t="b">
        <v>0</v>
      </c>
      <c r="I76" s="3">
        <v>0.7</v>
      </c>
      <c r="J76" s="5">
        <f>IF(H76,Notes!$B$4,1)*I76</f>
        <v>0.7</v>
      </c>
      <c r="K76" s="3">
        <v>80</v>
      </c>
      <c r="L76" s="3">
        <v>90</v>
      </c>
      <c r="M76" s="3">
        <v>1.5</v>
      </c>
      <c r="N76" s="3">
        <v>7</v>
      </c>
      <c r="O76" s="3">
        <v>60</v>
      </c>
      <c r="P76" s="3">
        <v>120</v>
      </c>
      <c r="Q76" s="6">
        <f>K76/Notes!$B$5</f>
        <v>40</v>
      </c>
      <c r="R76" s="6">
        <f>K76/(Notes!$B$5+Notes!$B$6)</f>
        <v>6.666666666666667</v>
      </c>
      <c r="S76">
        <f t="shared" si="10"/>
        <v>10.256410256410257</v>
      </c>
      <c r="T76">
        <f t="shared" si="11"/>
        <v>50</v>
      </c>
      <c r="U76">
        <f t="shared" si="12"/>
        <v>70</v>
      </c>
      <c r="V76">
        <f t="shared" si="13"/>
        <v>105</v>
      </c>
      <c r="W76">
        <f t="shared" si="14"/>
        <v>66.666666666666671</v>
      </c>
      <c r="X76">
        <f t="shared" si="15"/>
        <v>40.816326530612244</v>
      </c>
      <c r="Y76">
        <f t="shared" si="16"/>
        <v>30</v>
      </c>
      <c r="Z76">
        <f t="shared" si="17"/>
        <v>60</v>
      </c>
      <c r="AA76" s="11">
        <f t="shared" si="18"/>
        <v>432.73940345368914</v>
      </c>
      <c r="AB76" s="11">
        <f t="shared" si="19"/>
        <v>43.273940345368914</v>
      </c>
    </row>
    <row r="77" spans="1:28" x14ac:dyDescent="0.25">
      <c r="A77" s="2" t="s">
        <v>135</v>
      </c>
      <c r="B77" s="2" t="s">
        <v>46</v>
      </c>
      <c r="C77" s="2" t="s">
        <v>176</v>
      </c>
      <c r="D77" s="2">
        <v>319</v>
      </c>
      <c r="E77" s="2" t="s">
        <v>177</v>
      </c>
      <c r="F77" s="3">
        <v>8</v>
      </c>
      <c r="G77" s="4">
        <f>F77/SUMIFS($F:$F,$A:$A,A77,$B:$B,B77)</f>
        <v>0.08</v>
      </c>
      <c r="H77" s="3" t="b">
        <v>1</v>
      </c>
      <c r="I77" s="3">
        <v>1</v>
      </c>
      <c r="J77" s="5">
        <f>IF(H77,Notes!$B$4,1)*I77</f>
        <v>2.5555555555555549</v>
      </c>
      <c r="K77" s="3">
        <v>170</v>
      </c>
      <c r="L77" s="3">
        <v>75</v>
      </c>
      <c r="M77" s="3">
        <v>1.5</v>
      </c>
      <c r="N77" s="3">
        <v>5</v>
      </c>
      <c r="O77" s="3">
        <v>125</v>
      </c>
      <c r="P77" s="3">
        <v>150</v>
      </c>
      <c r="Q77" s="6">
        <f>K77/Notes!$B$5</f>
        <v>85</v>
      </c>
      <c r="R77" s="6">
        <f>K77/(Notes!$B$5+Notes!$B$6)</f>
        <v>14.166666666666666</v>
      </c>
      <c r="S77">
        <f t="shared" si="10"/>
        <v>50</v>
      </c>
      <c r="T77">
        <f t="shared" si="11"/>
        <v>200</v>
      </c>
      <c r="U77">
        <f t="shared" si="12"/>
        <v>100</v>
      </c>
      <c r="V77">
        <f t="shared" si="13"/>
        <v>112.5</v>
      </c>
      <c r="W77">
        <f t="shared" si="14"/>
        <v>66.666666666666671</v>
      </c>
      <c r="X77">
        <f t="shared" si="15"/>
        <v>80</v>
      </c>
      <c r="Y77">
        <f t="shared" si="16"/>
        <v>62.5</v>
      </c>
      <c r="Z77">
        <f t="shared" si="17"/>
        <v>75</v>
      </c>
      <c r="AA77" s="11">
        <f t="shared" si="18"/>
        <v>746.66666666666663</v>
      </c>
      <c r="AB77" s="11">
        <f t="shared" si="19"/>
        <v>74.666666666666657</v>
      </c>
    </row>
    <row r="78" spans="1:28" x14ac:dyDescent="0.25">
      <c r="A78" s="2" t="s">
        <v>135</v>
      </c>
      <c r="B78" s="2" t="s">
        <v>46</v>
      </c>
      <c r="C78" s="2" t="s">
        <v>178</v>
      </c>
      <c r="D78" s="2">
        <v>781</v>
      </c>
      <c r="E78" s="2" t="s">
        <v>179</v>
      </c>
      <c r="F78" s="3">
        <v>12</v>
      </c>
      <c r="G78" s="4">
        <f>F78/SUMIFS($F:$F,$A:$A,A78,$B:$B,B78)</f>
        <v>0.12</v>
      </c>
      <c r="H78" s="3" t="b">
        <v>1</v>
      </c>
      <c r="I78" s="3">
        <v>1</v>
      </c>
      <c r="J78" s="5">
        <f>IF(H78,Notes!$B$4,1)*I78</f>
        <v>2.5555555555555549</v>
      </c>
      <c r="K78" s="3">
        <v>220</v>
      </c>
      <c r="L78" s="3">
        <v>85</v>
      </c>
      <c r="M78" s="3">
        <v>3</v>
      </c>
      <c r="N78" s="3">
        <v>4</v>
      </c>
      <c r="O78" s="3">
        <v>110</v>
      </c>
      <c r="P78" s="3">
        <v>60</v>
      </c>
      <c r="Q78" s="6">
        <f>K78/Notes!$B$5</f>
        <v>110</v>
      </c>
      <c r="R78" s="6">
        <f>K78/(Notes!$B$5+Notes!$B$6)</f>
        <v>18.333333333333332</v>
      </c>
      <c r="S78">
        <f t="shared" si="10"/>
        <v>33.333333333333336</v>
      </c>
      <c r="T78">
        <f t="shared" si="11"/>
        <v>200</v>
      </c>
      <c r="U78">
        <f t="shared" si="12"/>
        <v>100</v>
      </c>
      <c r="V78">
        <f t="shared" si="13"/>
        <v>107.5</v>
      </c>
      <c r="W78">
        <f t="shared" si="14"/>
        <v>33.333333333333336</v>
      </c>
      <c r="X78">
        <f t="shared" si="15"/>
        <v>125</v>
      </c>
      <c r="Y78">
        <f t="shared" si="16"/>
        <v>55</v>
      </c>
      <c r="Z78">
        <f t="shared" si="17"/>
        <v>30</v>
      </c>
      <c r="AA78" s="11">
        <f t="shared" si="18"/>
        <v>684.16666666666674</v>
      </c>
      <c r="AB78" s="11">
        <f t="shared" si="19"/>
        <v>68.416666666666671</v>
      </c>
    </row>
  </sheetData>
  <autoFilter ref="A1:R78" xr:uid="{00000000-0009-0000-0000-000000000000}"/>
  <conditionalFormatting sqref="AA1:AA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:AB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110" customWidth="1"/>
  </cols>
  <sheetData>
    <row r="1" spans="1:3" x14ac:dyDescent="0.25">
      <c r="A1" s="7" t="s">
        <v>180</v>
      </c>
      <c r="B1" s="7" t="s">
        <v>181</v>
      </c>
      <c r="C1" s="7" t="s">
        <v>182</v>
      </c>
    </row>
    <row r="2" spans="1:3" x14ac:dyDescent="0.25">
      <c r="A2" s="2" t="s">
        <v>183</v>
      </c>
      <c r="B2" s="2" t="s">
        <v>184</v>
      </c>
      <c r="C2" s="2" t="s">
        <v>185</v>
      </c>
    </row>
    <row r="3" spans="1:3" x14ac:dyDescent="0.25">
      <c r="A3" s="2"/>
      <c r="B3" s="2"/>
      <c r="C3" s="2"/>
    </row>
    <row r="4" spans="1:3" x14ac:dyDescent="0.25">
      <c r="A4" s="2" t="s">
        <v>186</v>
      </c>
      <c r="B4" s="8">
        <v>2.5555555555555549</v>
      </c>
      <c r="C4" s="2" t="s">
        <v>187</v>
      </c>
    </row>
    <row r="5" spans="1:3" x14ac:dyDescent="0.25">
      <c r="A5" s="2" t="s">
        <v>188</v>
      </c>
      <c r="B5" s="3">
        <v>2</v>
      </c>
      <c r="C5" s="2" t="s">
        <v>189</v>
      </c>
    </row>
    <row r="6" spans="1:3" x14ac:dyDescent="0.25">
      <c r="A6" s="2" t="s">
        <v>190</v>
      </c>
      <c r="B6" s="3">
        <v>10</v>
      </c>
      <c r="C6" s="2" t="s">
        <v>191</v>
      </c>
    </row>
    <row r="7" spans="1:3" x14ac:dyDescent="0.25">
      <c r="A7" s="2" t="s">
        <v>192</v>
      </c>
      <c r="B7" s="9">
        <v>0.1</v>
      </c>
      <c r="C7" s="2" t="s">
        <v>193</v>
      </c>
    </row>
    <row r="8" spans="1:3" x14ac:dyDescent="0.25">
      <c r="A8" s="2"/>
      <c r="B8" s="2"/>
      <c r="C8" s="2"/>
    </row>
    <row r="9" spans="1:3" x14ac:dyDescent="0.25">
      <c r="A9" s="7" t="s">
        <v>194</v>
      </c>
      <c r="B9" s="7"/>
      <c r="C9" s="7" t="s">
        <v>195</v>
      </c>
    </row>
    <row r="10" spans="1:3" x14ac:dyDescent="0.25">
      <c r="A10" s="2" t="s">
        <v>5</v>
      </c>
      <c r="B10" s="2"/>
      <c r="C10" s="2" t="s">
        <v>196</v>
      </c>
    </row>
    <row r="11" spans="1:3" x14ac:dyDescent="0.25">
      <c r="A11" s="2" t="s">
        <v>6</v>
      </c>
      <c r="B11" s="2"/>
      <c r="C11" s="2" t="s">
        <v>197</v>
      </c>
    </row>
    <row r="12" spans="1:3" x14ac:dyDescent="0.25">
      <c r="A12" s="2" t="s">
        <v>10</v>
      </c>
      <c r="B12" s="2"/>
      <c r="C12" s="2" t="s">
        <v>198</v>
      </c>
    </row>
    <row r="13" spans="1:3" x14ac:dyDescent="0.25">
      <c r="A13" s="2" t="s">
        <v>11</v>
      </c>
      <c r="B13" s="2"/>
      <c r="C13" s="2" t="s">
        <v>199</v>
      </c>
    </row>
    <row r="14" spans="1:3" x14ac:dyDescent="0.25">
      <c r="A14" s="2" t="s">
        <v>12</v>
      </c>
      <c r="B14" s="2"/>
      <c r="C14" s="2" t="s">
        <v>200</v>
      </c>
    </row>
    <row r="15" spans="1:3" x14ac:dyDescent="0.25">
      <c r="A15" s="2" t="s">
        <v>13</v>
      </c>
      <c r="B15" s="2"/>
      <c r="C15" s="2" t="s">
        <v>201</v>
      </c>
    </row>
    <row r="16" spans="1:3" x14ac:dyDescent="0.25">
      <c r="A16" s="2" t="s">
        <v>14</v>
      </c>
      <c r="B16" s="2"/>
      <c r="C16" s="2" t="s">
        <v>202</v>
      </c>
    </row>
    <row r="17" spans="1:3" x14ac:dyDescent="0.25">
      <c r="A17" s="2" t="s">
        <v>15</v>
      </c>
      <c r="B17" s="2"/>
      <c r="C17" s="2" t="s">
        <v>203</v>
      </c>
    </row>
    <row r="18" spans="1:3" x14ac:dyDescent="0.25">
      <c r="A18" s="2" t="s">
        <v>204</v>
      </c>
      <c r="B18" s="2"/>
      <c r="C18" s="2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Olly Rogers</cp:lastModifiedBy>
  <dcterms:created xsi:type="dcterms:W3CDTF">2026-10-05T19:24:45Z</dcterms:created>
  <dcterms:modified xsi:type="dcterms:W3CDTF">2026-10-05T19:50:09Z</dcterms:modified>
</cp:coreProperties>
</file>
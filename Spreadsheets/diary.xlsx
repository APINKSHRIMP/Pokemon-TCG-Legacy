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kemon TCG Legacy\Spreadsheets\"/>
    </mc:Choice>
  </mc:AlternateContent>
  <xr:revisionPtr revIDLastSave="0" documentId="8_{287E3D98-49EE-420C-93CF-EC4C6F0C26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pponents_table" sheetId="1" r:id="rId1"/>
    <sheet name="coins_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7" i="1" l="1"/>
  <c r="BM7" i="1"/>
  <c r="BL7" i="1"/>
  <c r="BK7" i="1"/>
  <c r="BN6" i="1"/>
  <c r="BM6" i="1"/>
  <c r="BL6" i="1"/>
  <c r="BK6" i="1"/>
  <c r="BK8" i="1" s="1"/>
  <c r="BN4" i="1"/>
  <c r="BM4" i="1"/>
  <c r="BL4" i="1"/>
  <c r="BK4" i="1"/>
  <c r="BN3" i="1"/>
  <c r="BM3" i="1"/>
  <c r="BL3" i="1"/>
  <c r="BK3" i="1"/>
  <c r="AM6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BJ6" i="1"/>
  <c r="BI6" i="1"/>
  <c r="BH6" i="1"/>
  <c r="BG6" i="1"/>
  <c r="BG8" i="1" s="1"/>
  <c r="BF6" i="1"/>
  <c r="BE6" i="1"/>
  <c r="BD6" i="1"/>
  <c r="BC6" i="1"/>
  <c r="BC8" i="1" s="1"/>
  <c r="BB6" i="1"/>
  <c r="BA6" i="1"/>
  <c r="AZ6" i="1"/>
  <c r="AY6" i="1"/>
  <c r="AX6" i="1"/>
  <c r="AW6" i="1"/>
  <c r="AV6" i="1"/>
  <c r="AU6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Q3" i="1"/>
  <c r="AR3" i="1"/>
  <c r="AS3" i="1"/>
  <c r="AT3" i="1"/>
  <c r="AQ4" i="1"/>
  <c r="AR4" i="1"/>
  <c r="AS4" i="1"/>
  <c r="AT4" i="1"/>
  <c r="AQ6" i="1"/>
  <c r="AR6" i="1"/>
  <c r="AS6" i="1"/>
  <c r="AT6" i="1"/>
  <c r="AQ7" i="1"/>
  <c r="AR7" i="1"/>
  <c r="AS7" i="1"/>
  <c r="AT7" i="1"/>
  <c r="AA7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N6" i="1"/>
  <c r="AO6" i="1"/>
  <c r="AP6" i="1"/>
  <c r="X7" i="1"/>
  <c r="Y7" i="1"/>
  <c r="Z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D100" i="1"/>
  <c r="D88" i="1"/>
  <c r="D76" i="1"/>
  <c r="D27" i="1"/>
  <c r="D59" i="1"/>
  <c r="D49" i="1"/>
  <c r="D35" i="1"/>
  <c r="D21" i="1"/>
  <c r="D13" i="1"/>
  <c r="L3" i="1"/>
  <c r="L4" i="1"/>
  <c r="AN4" i="1"/>
  <c r="AN3" i="1"/>
  <c r="AJ4" i="1"/>
  <c r="AJ3" i="1"/>
  <c r="AK3" i="1"/>
  <c r="AK4" i="1"/>
  <c r="AF4" i="1"/>
  <c r="AF3" i="1"/>
  <c r="AB4" i="1"/>
  <c r="AB3" i="1"/>
  <c r="X4" i="1"/>
  <c r="X3" i="1"/>
  <c r="T4" i="1"/>
  <c r="T3" i="1"/>
  <c r="P4" i="1"/>
  <c r="P3" i="1"/>
  <c r="H4" i="1"/>
  <c r="H3" i="1"/>
  <c r="AP4" i="1"/>
  <c r="AO4" i="1"/>
  <c r="AM4" i="1"/>
  <c r="AP3" i="1"/>
  <c r="AO3" i="1"/>
  <c r="AM3" i="1"/>
  <c r="AL4" i="1"/>
  <c r="AI4" i="1"/>
  <c r="AL3" i="1"/>
  <c r="AI3" i="1"/>
  <c r="W6" i="1"/>
  <c r="W7" i="1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133" i="1"/>
  <c r="D132" i="1"/>
  <c r="D131" i="1"/>
  <c r="D130" i="1"/>
  <c r="D129" i="1"/>
  <c r="D128" i="1"/>
  <c r="D127" i="1"/>
  <c r="D126" i="1"/>
  <c r="D124" i="1"/>
  <c r="D123" i="1"/>
  <c r="D122" i="1"/>
  <c r="D121" i="1"/>
  <c r="D120" i="1"/>
  <c r="D119" i="1"/>
  <c r="D118" i="1"/>
  <c r="D117" i="1"/>
  <c r="D115" i="1"/>
  <c r="D114" i="1"/>
  <c r="D113" i="1"/>
  <c r="D112" i="1"/>
  <c r="D111" i="1"/>
  <c r="D110" i="1"/>
  <c r="D109" i="1"/>
  <c r="D108" i="1"/>
  <c r="D95" i="1"/>
  <c r="D87" i="1"/>
  <c r="D105" i="1"/>
  <c r="D75" i="1"/>
  <c r="D73" i="1"/>
  <c r="D74" i="1"/>
  <c r="D72" i="1"/>
  <c r="D71" i="1"/>
  <c r="D82" i="1"/>
  <c r="D81" i="1"/>
  <c r="D83" i="1"/>
  <c r="D96" i="1"/>
  <c r="D78" i="1"/>
  <c r="D77" i="1"/>
  <c r="D104" i="1"/>
  <c r="D80" i="1"/>
  <c r="D90" i="1"/>
  <c r="D102" i="1"/>
  <c r="D89" i="1"/>
  <c r="D69" i="1"/>
  <c r="D86" i="1"/>
  <c r="D85" i="1"/>
  <c r="D99" i="1"/>
  <c r="D98" i="1"/>
  <c r="D97" i="1"/>
  <c r="D94" i="1"/>
  <c r="D68" i="1"/>
  <c r="D84" i="1"/>
  <c r="D106" i="1"/>
  <c r="D93" i="1"/>
  <c r="D91" i="1"/>
  <c r="D79" i="1"/>
  <c r="D101" i="1"/>
  <c r="D92" i="1"/>
  <c r="D66" i="1"/>
  <c r="D67" i="1"/>
  <c r="D103" i="1"/>
  <c r="D70" i="1"/>
  <c r="D65" i="1"/>
  <c r="D64" i="1"/>
  <c r="D63" i="1"/>
  <c r="D62" i="1"/>
  <c r="D61" i="1"/>
  <c r="D60" i="1"/>
  <c r="D57" i="1"/>
  <c r="D53" i="1"/>
  <c r="D52" i="1"/>
  <c r="D51" i="1"/>
  <c r="D50" i="1"/>
  <c r="D56" i="1"/>
  <c r="D55" i="1"/>
  <c r="D54" i="1"/>
  <c r="D48" i="1"/>
  <c r="D47" i="1"/>
  <c r="D46" i="1"/>
  <c r="D45" i="1"/>
  <c r="D44" i="1"/>
  <c r="D43" i="1"/>
  <c r="D41" i="1"/>
  <c r="D40" i="1"/>
  <c r="D42" i="1"/>
  <c r="D39" i="1"/>
  <c r="D38" i="1"/>
  <c r="D37" i="1"/>
  <c r="D36" i="1"/>
  <c r="D34" i="1"/>
  <c r="D32" i="1"/>
  <c r="D33" i="1"/>
  <c r="D31" i="1"/>
  <c r="D30" i="1"/>
  <c r="D29" i="1"/>
  <c r="D28" i="1"/>
  <c r="D25" i="1"/>
  <c r="D24" i="1"/>
  <c r="D26" i="1"/>
  <c r="D23" i="1"/>
  <c r="D22" i="1"/>
  <c r="D18" i="1"/>
  <c r="D20" i="1"/>
  <c r="D19" i="1"/>
  <c r="D17" i="1"/>
  <c r="D16" i="1"/>
  <c r="D15" i="1"/>
  <c r="D14" i="1"/>
  <c r="D12" i="1"/>
  <c r="AH4" i="1"/>
  <c r="AG4" i="1"/>
  <c r="AE4" i="1"/>
  <c r="AD4" i="1"/>
  <c r="AC4" i="1"/>
  <c r="AA4" i="1"/>
  <c r="Z4" i="1"/>
  <c r="Y4" i="1"/>
  <c r="W4" i="1"/>
  <c r="V4" i="1"/>
  <c r="U4" i="1"/>
  <c r="S4" i="1"/>
  <c r="R4" i="1"/>
  <c r="Q4" i="1"/>
  <c r="O4" i="1"/>
  <c r="N4" i="1"/>
  <c r="M4" i="1"/>
  <c r="K4" i="1"/>
  <c r="J4" i="1"/>
  <c r="I4" i="1"/>
  <c r="G4" i="1"/>
  <c r="AH3" i="1"/>
  <c r="AG3" i="1"/>
  <c r="AE3" i="1"/>
  <c r="AD3" i="1"/>
  <c r="AC3" i="1"/>
  <c r="AA3" i="1"/>
  <c r="Z3" i="1"/>
  <c r="Y3" i="1"/>
  <c r="W3" i="1"/>
  <c r="V3" i="1"/>
  <c r="U3" i="1"/>
  <c r="S3" i="1"/>
  <c r="R3" i="1"/>
  <c r="Q3" i="1"/>
  <c r="O3" i="1"/>
  <c r="N3" i="1"/>
  <c r="M3" i="1"/>
  <c r="K3" i="1"/>
  <c r="J3" i="1"/>
  <c r="I3" i="1"/>
  <c r="G3" i="1"/>
  <c r="AU8" i="1" l="1"/>
  <c r="AY8" i="1"/>
  <c r="AQ8" i="1"/>
  <c r="AM8" i="1"/>
  <c r="G8" i="1"/>
  <c r="AI8" i="1"/>
  <c r="W8" i="1"/>
  <c r="AE8" i="1"/>
  <c r="AA8" i="1"/>
  <c r="O8" i="1"/>
  <c r="K8" i="1"/>
  <c r="S8" i="1"/>
  <c r="G10" i="1" l="1"/>
  <c r="AM9" i="1"/>
  <c r="W9" i="1"/>
  <c r="G9" i="1"/>
</calcChain>
</file>

<file path=xl/sharedStrings.xml><?xml version="1.0" encoding="utf-8"?>
<sst xmlns="http://schemas.openxmlformats.org/spreadsheetml/2006/main" count="2300" uniqueCount="857">
  <si>
    <t>CELESTE HARBOUR</t>
  </si>
  <si>
    <t>Eve 1</t>
  </si>
  <si>
    <t>Eve 2</t>
  </si>
  <si>
    <t>Eve 3</t>
  </si>
  <si>
    <t>Eve 4</t>
  </si>
  <si>
    <t>Eve 5</t>
  </si>
  <si>
    <t>Eve 6</t>
  </si>
  <si>
    <t>Eve 7</t>
  </si>
  <si>
    <t>CELESTE 
HARBOUR</t>
  </si>
  <si>
    <t>New opponents added</t>
  </si>
  <si>
    <t>Total opponents available at this time</t>
  </si>
  <si>
    <t>VERDANT
FOREST</t>
  </si>
  <si>
    <t>Total amount of  new opponents added all day</t>
  </si>
  <si>
    <t>Total amount of new opponents added this area</t>
  </si>
  <si>
    <t>Total opponents across game</t>
  </si>
  <si>
    <t>Opponent</t>
  </si>
  <si>
    <t>Prizes</t>
  </si>
  <si>
    <t>Count</t>
  </si>
  <si>
    <t>Deck</t>
  </si>
  <si>
    <t>Coin</t>
  </si>
  <si>
    <t>Youngster Joey</t>
  </si>
  <si>
    <t>Basic Pokemon Barrage</t>
  </si>
  <si>
    <t>Rattata Silver</t>
  </si>
  <si>
    <t>✅</t>
  </si>
  <si>
    <t>✔️</t>
  </si>
  <si>
    <t>Gambler Mick</t>
  </si>
  <si>
    <t>You Win Some N Lose Some</t>
  </si>
  <si>
    <t>Farfetchd Silver</t>
  </si>
  <si>
    <t>Schoolboy Adam</t>
  </si>
  <si>
    <t>Status Infliction</t>
  </si>
  <si>
    <t>Drowzee Gold</t>
  </si>
  <si>
    <t>Fisherman Dave</t>
  </si>
  <si>
    <t>Fishy Fish</t>
  </si>
  <si>
    <t>Magikarp Gold</t>
  </si>
  <si>
    <t>Fisherman John</t>
  </si>
  <si>
    <t>Seavolutions</t>
  </si>
  <si>
    <t>Squirtle Blue</t>
  </si>
  <si>
    <t>Engineer Allan</t>
  </si>
  <si>
    <t>Zzzap</t>
  </si>
  <si>
    <t>Voltorb Gold</t>
  </si>
  <si>
    <t>Gardener Callum</t>
  </si>
  <si>
    <t>Pollen Power</t>
  </si>
  <si>
    <t>Bulbasaur Green 2</t>
  </si>
  <si>
    <t>Painter Jericho</t>
  </si>
  <si>
    <t>Art Assistants</t>
  </si>
  <si>
    <t>Eevee Silver</t>
  </si>
  <si>
    <t>Beach Kid Timothy</t>
  </si>
  <si>
    <t>I Love Sand And Sea</t>
  </si>
  <si>
    <t>Diglett Brown</t>
  </si>
  <si>
    <t>Beach Kid Evie</t>
  </si>
  <si>
    <t>Pika And Friends</t>
  </si>
  <si>
    <t>Pikachu Gold</t>
  </si>
  <si>
    <t>Swimmer Jordan</t>
  </si>
  <si>
    <t>Whirlgong</t>
  </si>
  <si>
    <t>Poliwag Blue</t>
  </si>
  <si>
    <t>Swimmer Todd</t>
  </si>
  <si>
    <t>I See Sea</t>
  </si>
  <si>
    <t>Tentacool Blue</t>
  </si>
  <si>
    <t>Birdspotter Tamsin</t>
  </si>
  <si>
    <t>Lil Birbs</t>
  </si>
  <si>
    <t>Doduo Brown</t>
  </si>
  <si>
    <t>Bug Catcher Alex</t>
  </si>
  <si>
    <t>I Love Bugs!</t>
  </si>
  <si>
    <t>Caterpie Green</t>
  </si>
  <si>
    <t>Hiker Matthew</t>
  </si>
  <si>
    <t>Rocks N Stones</t>
  </si>
  <si>
    <t>Geodude Gold</t>
  </si>
  <si>
    <t>Jogger Daniel</t>
  </si>
  <si>
    <t>Nido Nido Meow</t>
  </si>
  <si>
    <t>Nidoking Purple</t>
  </si>
  <si>
    <t>Firebreather Darryl</t>
  </si>
  <si>
    <t>Hot Air</t>
  </si>
  <si>
    <t>Magmar Red</t>
  </si>
  <si>
    <t>Firebreather Kenneth</t>
  </si>
  <si>
    <t>Quadrapedal Firestarters</t>
  </si>
  <si>
    <t>Ponyta Red</t>
  </si>
  <si>
    <t>Psychic Brienne</t>
  </si>
  <si>
    <t>Meditation Meditation</t>
  </si>
  <si>
    <t>Mewtwo Purple</t>
  </si>
  <si>
    <t>Sailor Bob</t>
  </si>
  <si>
    <t>Hoist The Anchor</t>
  </si>
  <si>
    <t>Wartortle Blue</t>
  </si>
  <si>
    <t>Bad Dude Paul</t>
  </si>
  <si>
    <t>Bad Guys</t>
  </si>
  <si>
    <t>Muk Purple</t>
  </si>
  <si>
    <t>Young Twin Anna</t>
  </si>
  <si>
    <t>Pretty Plants N Butterfly</t>
  </si>
  <si>
    <t>Butterfree Purple</t>
  </si>
  <si>
    <t>Young Twin Nella</t>
  </si>
  <si>
    <t>Scary Plants N Bees</t>
  </si>
  <si>
    <t>Beedrill Green</t>
  </si>
  <si>
    <t>Aromagirl Penelope</t>
  </si>
  <si>
    <t>Strange Plants</t>
  </si>
  <si>
    <t>Bellsprout Green</t>
  </si>
  <si>
    <t>Bug Catcher Frankie</t>
  </si>
  <si>
    <t>Big Bad Bugs!</t>
  </si>
  <si>
    <t>Pinsir Brown</t>
  </si>
  <si>
    <t>Birdspotter Gregg</t>
  </si>
  <si>
    <t>Big Ol Birbs</t>
  </si>
  <si>
    <t>Pidgeotto Silver</t>
  </si>
  <si>
    <t>Guitarist Jonesy</t>
  </si>
  <si>
    <t>Heavy Metal</t>
  </si>
  <si>
    <t>Magnemite Silver</t>
  </si>
  <si>
    <t>Guitarist Howard</t>
  </si>
  <si>
    <t>Rock N Shock</t>
  </si>
  <si>
    <t>Raichu Gold 2</t>
  </si>
  <si>
    <t>Garden Manager Louis</t>
  </si>
  <si>
    <t>Solar Power</t>
  </si>
  <si>
    <t>Venusaur Green</t>
  </si>
  <si>
    <t>Hiker Ben</t>
  </si>
  <si>
    <t>Solid Ground</t>
  </si>
  <si>
    <t>Dugtrio Brown</t>
  </si>
  <si>
    <t>Engineer Brad</t>
  </si>
  <si>
    <t>Work Hard Play Hard</t>
  </si>
  <si>
    <t>Tauros Silver</t>
  </si>
  <si>
    <t>Bad Dude Wayne</t>
  </si>
  <si>
    <t>Dark Poison</t>
  </si>
  <si>
    <t>Weezing Purple</t>
  </si>
  <si>
    <t>Rocket Grunt Damien</t>
  </si>
  <si>
    <t>Rocket Underlings</t>
  </si>
  <si>
    <t>Team Rocket Red</t>
  </si>
  <si>
    <t>Rocket Grunt Penny</t>
  </si>
  <si>
    <t>Rocket Blast Off</t>
  </si>
  <si>
    <t>Team Rocket Blue</t>
  </si>
  <si>
    <t>Fisherman Gary</t>
  </si>
  <si>
    <t>Big Catch</t>
  </si>
  <si>
    <t>Gyarados Blue</t>
  </si>
  <si>
    <t>Tourist Alissa</t>
  </si>
  <si>
    <t>Girl Power</t>
  </si>
  <si>
    <t>Clefairy Pink</t>
  </si>
  <si>
    <t>Tourist Edmund</t>
  </si>
  <si>
    <t>Elegance</t>
  </si>
  <si>
    <t>Dratini Blue</t>
  </si>
  <si>
    <t>Swimmer Melissa</t>
  </si>
  <si>
    <t>Poligong's Wrath</t>
  </si>
  <si>
    <t>Dewgong Blue</t>
  </si>
  <si>
    <t>Card Elder Hamish</t>
  </si>
  <si>
    <t>Haymaker</t>
  </si>
  <si>
    <t>Hitmonchan Silver</t>
  </si>
  <si>
    <t>Card Elder Rayne</t>
  </si>
  <si>
    <t>Rain Dance</t>
  </si>
  <si>
    <t>Blastoise Blue</t>
  </si>
  <si>
    <t>Card Elder Waverly</t>
  </si>
  <si>
    <t>Do The Wave</t>
  </si>
  <si>
    <t>Wigglytuff Pink</t>
  </si>
  <si>
    <t>Battlegirl Sofia</t>
  </si>
  <si>
    <t>Brickbreaker</t>
  </si>
  <si>
    <t>Mankey Gold</t>
  </si>
  <si>
    <t>VERDANT FOREST</t>
  </si>
  <si>
    <t>Pikachu Fan Marina</t>
  </si>
  <si>
    <t>Wave Surfing</t>
  </si>
  <si>
    <t>Pikachu Gold 2</t>
  </si>
  <si>
    <t>Pikachu Fan Skye</t>
  </si>
  <si>
    <t>Fly Away</t>
  </si>
  <si>
    <t>Pikachu Gold 3</t>
  </si>
  <si>
    <t>Pikachu Fan Cami</t>
  </si>
  <si>
    <t>Snap!</t>
  </si>
  <si>
    <t>Pikachu Gold 4</t>
  </si>
  <si>
    <t>Pikachu Fan Juniper</t>
  </si>
  <si>
    <t>Forest Mouse</t>
  </si>
  <si>
    <t>Pikachu Gold 5</t>
  </si>
  <si>
    <t>Pikachu Fan Raye</t>
  </si>
  <si>
    <t>Thunderbolt!</t>
  </si>
  <si>
    <t>Pikachu Gold 6</t>
  </si>
  <si>
    <t>Pikachu Fan Leaf</t>
  </si>
  <si>
    <t>Leafychu</t>
  </si>
  <si>
    <t>Pikachu Gold 7</t>
  </si>
  <si>
    <t>Pikachu Mum</t>
  </si>
  <si>
    <t>All the Pikachu!</t>
  </si>
  <si>
    <t>Raichu Gold</t>
  </si>
  <si>
    <t>Gentleman Benedict</t>
  </si>
  <si>
    <t>Colorless Crusher</t>
  </si>
  <si>
    <t>Kangaskhan Silver</t>
  </si>
  <si>
    <t>Ninjaboy Sasuke</t>
  </si>
  <si>
    <t>Ssssssnakes</t>
  </si>
  <si>
    <t>Ekans Purple</t>
  </si>
  <si>
    <t>Youngster Milo</t>
  </si>
  <si>
    <t>Creepy Crawlies</t>
  </si>
  <si>
    <t>Paras Green</t>
  </si>
  <si>
    <t>Card Expert Nathan</t>
  </si>
  <si>
    <t>Energy Burn</t>
  </si>
  <si>
    <t>Charizard Red</t>
  </si>
  <si>
    <t>Card Expert Ruby</t>
  </si>
  <si>
    <t>Burnt Up</t>
  </si>
  <si>
    <t>Charmeleon Red</t>
  </si>
  <si>
    <t>Forest Ranger Tucker</t>
  </si>
  <si>
    <t>Poisonous Stingers</t>
  </si>
  <si>
    <t>Kakuna Gold</t>
  </si>
  <si>
    <t>Lady Fiona</t>
  </si>
  <si>
    <t>Foul Toxins</t>
  </si>
  <si>
    <t>Grimer Purple</t>
  </si>
  <si>
    <t>Backpacker Patrick</t>
  </si>
  <si>
    <t>Land N Sea</t>
  </si>
  <si>
    <t>Omanyte Blue</t>
  </si>
  <si>
    <t>Card Expert Aurora</t>
  </si>
  <si>
    <t>Hailstorm</t>
  </si>
  <si>
    <t>Lapras Blue</t>
  </si>
  <si>
    <t>Mad Scientist Leonard</t>
  </si>
  <si>
    <t>Headache</t>
  </si>
  <si>
    <t>Golduck Blue</t>
  </si>
  <si>
    <t>Doctor Mortimor</t>
  </si>
  <si>
    <t>Self Affliction</t>
  </si>
  <si>
    <t>Gloom Green</t>
  </si>
  <si>
    <t>Hiker Walter</t>
  </si>
  <si>
    <t>Solid Workers</t>
  </si>
  <si>
    <t>Machop Brown</t>
  </si>
  <si>
    <t>Shady Character Owen</t>
  </si>
  <si>
    <t>Thunder Rush</t>
  </si>
  <si>
    <t>Jolteon Silver</t>
  </si>
  <si>
    <t>Shady Character Bernard</t>
  </si>
  <si>
    <t>Neverending Flames</t>
  </si>
  <si>
    <t>Charizard Red 2</t>
  </si>
  <si>
    <t>Ghost Whisperer Vera</t>
  </si>
  <si>
    <t>Terrible Nightmares</t>
  </si>
  <si>
    <t>Gengar Purple</t>
  </si>
  <si>
    <t>Police Constable Floyd</t>
  </si>
  <si>
    <t>Energy Beams</t>
  </si>
  <si>
    <t>Gyarados Red</t>
  </si>
  <si>
    <t>Police Sergeant Douglas</t>
  </si>
  <si>
    <t>Peace Keepers</t>
  </si>
  <si>
    <t>Machamp Brown</t>
  </si>
  <si>
    <t>Rocket Grunt Margot</t>
  </si>
  <si>
    <t>Scavenge And Retreat</t>
  </si>
  <si>
    <t>Golbat Gold</t>
  </si>
  <si>
    <t>Swimmer Bibi</t>
  </si>
  <si>
    <t>Dark Rainstorm</t>
  </si>
  <si>
    <t>Blastoise Blue 2</t>
  </si>
  <si>
    <t>Nature Lover Erin</t>
  </si>
  <si>
    <t>Forest Guardians</t>
  </si>
  <si>
    <t>Ivysaur Green</t>
  </si>
  <si>
    <t>Young Sage Kai</t>
  </si>
  <si>
    <t>Thunder Ball</t>
  </si>
  <si>
    <t>Electrode Gold</t>
  </si>
  <si>
    <t>Youngster Cooper</t>
  </si>
  <si>
    <t>Solid Dynamite</t>
  </si>
  <si>
    <t>Magneton Gold</t>
  </si>
  <si>
    <t>Gambler Victor</t>
  </si>
  <si>
    <t>Risky Flips</t>
  </si>
  <si>
    <t>Primeape Brown</t>
  </si>
  <si>
    <t>Old Traveller Harold</t>
  </si>
  <si>
    <t>Solid Invertebrates</t>
  </si>
  <si>
    <t>Kingler Blue</t>
  </si>
  <si>
    <t>Old Traveller Cliff</t>
  </si>
  <si>
    <t>Hard Hitters</t>
  </si>
  <si>
    <t>Cubone Brown</t>
  </si>
  <si>
    <t>Fossil Expert Jonathan</t>
  </si>
  <si>
    <t>Earth Sea Sky</t>
  </si>
  <si>
    <t>Aerodactyl Brown</t>
  </si>
  <si>
    <t>Psychic Nova</t>
  </si>
  <si>
    <t>Telekinesis</t>
  </si>
  <si>
    <t>Alakazam Purple</t>
  </si>
  <si>
    <t>Clown Hubert</t>
  </si>
  <si>
    <t>Scary Phobias</t>
  </si>
  <si>
    <t>Venomoth Purple</t>
  </si>
  <si>
    <t>Clown Glenn</t>
  </si>
  <si>
    <t>Strange Damage Counters</t>
  </si>
  <si>
    <t>Slowbro Pink</t>
  </si>
  <si>
    <t>Rocket Exec Proton</t>
  </si>
  <si>
    <t>Under The Shadow Of Wings</t>
  </si>
  <si>
    <t>Dragonite Gold</t>
  </si>
  <si>
    <t>Rocket Exec Petrel</t>
  </si>
  <si>
    <t>Relentless Poison</t>
  </si>
  <si>
    <t>Arbok Purple</t>
  </si>
  <si>
    <t>Rocket Exec Ariana</t>
  </si>
  <si>
    <t>Forced Evolutions</t>
  </si>
  <si>
    <t>Eevee Gold</t>
  </si>
  <si>
    <t>Rocket Exec Archer</t>
  </si>
  <si>
    <t>Jet Shell</t>
  </si>
  <si>
    <t>Blastoise Silver</t>
  </si>
  <si>
    <t>Rocket Boss Giovanni</t>
  </si>
  <si>
    <t>Rocket Psychic Supremacy</t>
  </si>
  <si>
    <t>Zz Mewtwo Purple 3</t>
  </si>
  <si>
    <t>Veteran Sylvester</t>
  </si>
  <si>
    <t>Lost At Sea</t>
  </si>
  <si>
    <t>Psychic Eli</t>
  </si>
  <si>
    <t>Mind Control</t>
  </si>
  <si>
    <t>Hypno Gold</t>
  </si>
  <si>
    <t>Light Engineer Chase</t>
  </si>
  <si>
    <t>Shock and Awe</t>
  </si>
  <si>
    <t>Electrode Silver</t>
  </si>
  <si>
    <t>GYM PLAZA / HALL</t>
  </si>
  <si>
    <t>Ex Gym Leader Brock</t>
  </si>
  <si>
    <t>Pewter Compassion</t>
  </si>
  <si>
    <t>Energy Fighting Brown</t>
  </si>
  <si>
    <t>Ex Gym Leader Misty</t>
  </si>
  <si>
    <t>Cold Water Warmup</t>
  </si>
  <si>
    <t>Energy Water Blue</t>
  </si>
  <si>
    <t>Ex Gym Leader Lt. Surge</t>
  </si>
  <si>
    <t>Static Charge</t>
  </si>
  <si>
    <t>Energy Lightning Gold</t>
  </si>
  <si>
    <t>Ex Gym Leader Erika</t>
  </si>
  <si>
    <t>Sunbathing</t>
  </si>
  <si>
    <t>Energy Grass Green</t>
  </si>
  <si>
    <t>Ex Gym Leader Koga</t>
  </si>
  <si>
    <t>Ninja Ambush</t>
  </si>
  <si>
    <t>Energy Colorless Silver</t>
  </si>
  <si>
    <t>Ex Gym Leader Sabrina</t>
  </si>
  <si>
    <t>Psychic Uplink</t>
  </si>
  <si>
    <t>Energy Psychic Purple</t>
  </si>
  <si>
    <t>Ex Gym Leader Blaine</t>
  </si>
  <si>
    <t>Burning Slot Machine</t>
  </si>
  <si>
    <t>Energy Fire Red</t>
  </si>
  <si>
    <t>Ex Gym Leader Giovanni</t>
  </si>
  <si>
    <t>Kings And Queens</t>
  </si>
  <si>
    <t>Energy Darkness Black</t>
  </si>
  <si>
    <t>Gym Hero Brock</t>
  </si>
  <si>
    <t>Pewter Crusher</t>
  </si>
  <si>
    <t>Energy Fighting Brown 2</t>
  </si>
  <si>
    <t>Gym Hero Misty</t>
  </si>
  <si>
    <t>Misty's Wrath</t>
  </si>
  <si>
    <t>Energy Water Blue 2</t>
  </si>
  <si>
    <t>Gym Hero Lt. Surge</t>
  </si>
  <si>
    <t>Power Surge</t>
  </si>
  <si>
    <t>Energy Lightning Gold 2</t>
  </si>
  <si>
    <t>Gym Hero Erika</t>
  </si>
  <si>
    <t>Life Draining Pollen</t>
  </si>
  <si>
    <t>Energy Grass Green 2</t>
  </si>
  <si>
    <t>Gym Hero Koga</t>
  </si>
  <si>
    <t>Koga's Ninja Poison</t>
  </si>
  <si>
    <t>Energy Colorless Silver 2</t>
  </si>
  <si>
    <t>Gym Hero Sabrina</t>
  </si>
  <si>
    <t>Mixed Aura</t>
  </si>
  <si>
    <t>Energy Psychic Purple 2</t>
  </si>
  <si>
    <t>Gym Hero Blaine</t>
  </si>
  <si>
    <t>Stoke The Flames</t>
  </si>
  <si>
    <t>Energy Fire Red 2</t>
  </si>
  <si>
    <t>Gym Hero Giovanni</t>
  </si>
  <si>
    <t>The Might Of The Boss</t>
  </si>
  <si>
    <t>Energy Darkness Black 2</t>
  </si>
  <si>
    <t>Zz Eevee Brown</t>
  </si>
  <si>
    <t>Dragon Rage</t>
  </si>
  <si>
    <t>Zz Blastoise Blue</t>
  </si>
  <si>
    <t>Zz Pikachu Gold</t>
  </si>
  <si>
    <t>Zz Venusaur Green</t>
  </si>
  <si>
    <t>Zz Espeon Umbreon Silver</t>
  </si>
  <si>
    <t>ZZ Gengar Silver</t>
  </si>
  <si>
    <t>Incinerator</t>
  </si>
  <si>
    <t>Zz Charizard Red</t>
  </si>
  <si>
    <t>Zz Mewtwo Purple</t>
  </si>
  <si>
    <t>Granted By</t>
  </si>
  <si>
    <t>abra silver</t>
  </si>
  <si>
    <t>aerodactyl brown</t>
  </si>
  <si>
    <t>aerodactyl silver</t>
  </si>
  <si>
    <t>alakazam purple</t>
  </si>
  <si>
    <t>alakazam purple 2</t>
  </si>
  <si>
    <t>alakazam silver</t>
  </si>
  <si>
    <t>arbok purple</t>
  </si>
  <si>
    <t>arcanine gold</t>
  </si>
  <si>
    <t>arcanine red</t>
  </si>
  <si>
    <t>arceus silver</t>
  </si>
  <si>
    <t>articuno blue</t>
  </si>
  <si>
    <t>azumarill blue</t>
  </si>
  <si>
    <t>back basic</t>
  </si>
  <si>
    <t>beedrill green</t>
  </si>
  <si>
    <t>bellsprout green</t>
  </si>
  <si>
    <t>blastoise blue</t>
  </si>
  <si>
    <t>blastoise blue 2</t>
  </si>
  <si>
    <t>blastoise blue 3</t>
  </si>
  <si>
    <t>blastoise silver</t>
  </si>
  <si>
    <t>blaziken gold</t>
  </si>
  <si>
    <t>blaziken red</t>
  </si>
  <si>
    <t>blissey pink</t>
  </si>
  <si>
    <t>bulbasaur gold</t>
  </si>
  <si>
    <t>bulbasaur green</t>
  </si>
  <si>
    <t>bulbasaur green 2</t>
  </si>
  <si>
    <t>butterfree purple</t>
  </si>
  <si>
    <t>caterpie green</t>
  </si>
  <si>
    <t>celebi green</t>
  </si>
  <si>
    <t>chansey green</t>
  </si>
  <si>
    <t>chansey pink</t>
  </si>
  <si>
    <t>chansey silver</t>
  </si>
  <si>
    <t>chansey silver 2</t>
  </si>
  <si>
    <t>charizard blue</t>
  </si>
  <si>
    <t>charizard gold</t>
  </si>
  <si>
    <t>charizard red</t>
  </si>
  <si>
    <t>charizard red 2</t>
  </si>
  <si>
    <t>charizard silver</t>
  </si>
  <si>
    <t>charmander Red</t>
  </si>
  <si>
    <t>charmander gold</t>
  </si>
  <si>
    <t>charmander red 2</t>
  </si>
  <si>
    <t>charmander squirtle blue</t>
  </si>
  <si>
    <t>charmander squirtle red</t>
  </si>
  <si>
    <t>charmeleon red</t>
  </si>
  <si>
    <t>chespin silver</t>
  </si>
  <si>
    <t>chikorita green</t>
  </si>
  <si>
    <t>chimchar red</t>
  </si>
  <si>
    <t>chiyu red</t>
  </si>
  <si>
    <t>clefable silver</t>
  </si>
  <si>
    <t>clefairy gold</t>
  </si>
  <si>
    <t>clefairy pink</t>
  </si>
  <si>
    <t>clefairy pink 2</t>
  </si>
  <si>
    <t>combusken red</t>
  </si>
  <si>
    <t>corviknight silver</t>
  </si>
  <si>
    <t>crobat pink</t>
  </si>
  <si>
    <t>croconaw silver</t>
  </si>
  <si>
    <t>cubone brown</t>
  </si>
  <si>
    <t>cyndaquil red</t>
  </si>
  <si>
    <t>darkrai gold</t>
  </si>
  <si>
    <t>darkrai silver</t>
  </si>
  <si>
    <t>darkrai umbreon silver</t>
  </si>
  <si>
    <t>darmanitan blue</t>
  </si>
  <si>
    <t>deoxys espeon silver</t>
  </si>
  <si>
    <t>deoxys red</t>
  </si>
  <si>
    <t>deoxys silver</t>
  </si>
  <si>
    <t>dewgong blue</t>
  </si>
  <si>
    <t>dialga blue 2</t>
  </si>
  <si>
    <t>dialga blue 3</t>
  </si>
  <si>
    <t>dialga silver</t>
  </si>
  <si>
    <t>diglett brown</t>
  </si>
  <si>
    <t>ditto pink</t>
  </si>
  <si>
    <t>doduo brown</t>
  </si>
  <si>
    <t>dragonair blue</t>
  </si>
  <si>
    <t>dragonair gold</t>
  </si>
  <si>
    <t>dragonite gold</t>
  </si>
  <si>
    <t>dragonite gold 2</t>
  </si>
  <si>
    <t>dragonite pink</t>
  </si>
  <si>
    <t>dragonite silver</t>
  </si>
  <si>
    <t>dratini blue</t>
  </si>
  <si>
    <t>drowzee gold</t>
  </si>
  <si>
    <t>dugtrio brown</t>
  </si>
  <si>
    <t>dusclops silver</t>
  </si>
  <si>
    <t>eevee blue</t>
  </si>
  <si>
    <t>eevee brown</t>
  </si>
  <si>
    <t>eevee gold</t>
  </si>
  <si>
    <t>eevee gold 2</t>
  </si>
  <si>
    <t>eevee gold 3</t>
  </si>
  <si>
    <t>eevee gold 4</t>
  </si>
  <si>
    <t>eevee pink</t>
  </si>
  <si>
    <t>eevee silver</t>
  </si>
  <si>
    <t>eevee silver 2</t>
  </si>
  <si>
    <t>eeveelutions silver</t>
  </si>
  <si>
    <t>electabuzz gold</t>
  </si>
  <si>
    <t>electrode gold</t>
  </si>
  <si>
    <t>electrode silver</t>
  </si>
  <si>
    <t>empoleon blue</t>
  </si>
  <si>
    <t>energies blue</t>
  </si>
  <si>
    <t>energies brown</t>
  </si>
  <si>
    <t>energies gold</t>
  </si>
  <si>
    <t>energies green</t>
  </si>
  <si>
    <t>energies purple</t>
  </si>
  <si>
    <t>energies red</t>
  </si>
  <si>
    <t>energy colorless silver</t>
  </si>
  <si>
    <t>energy darkness black</t>
  </si>
  <si>
    <t>energy darkness black 2</t>
  </si>
  <si>
    <t>energy dragon gold</t>
  </si>
  <si>
    <t>energy dragon gold 2</t>
  </si>
  <si>
    <t>energy fairy pink</t>
  </si>
  <si>
    <t>energy fighting brown</t>
  </si>
  <si>
    <t>energy fighting brown 2</t>
  </si>
  <si>
    <t>energy fire red</t>
  </si>
  <si>
    <t>energy fire red 2</t>
  </si>
  <si>
    <t>energy grass green</t>
  </si>
  <si>
    <t>energy grass green 2</t>
  </si>
  <si>
    <t>energy lightning gold</t>
  </si>
  <si>
    <t>energy lightning gold 2</t>
  </si>
  <si>
    <t>energy metal silver</t>
  </si>
  <si>
    <t>energy psychic purple</t>
  </si>
  <si>
    <t>energy psychic purple 2</t>
  </si>
  <si>
    <t>energy water blue</t>
  </si>
  <si>
    <t>energy water blue 2</t>
  </si>
  <si>
    <t>entei red</t>
  </si>
  <si>
    <t>espeon pink</t>
  </si>
  <si>
    <t>espeon purple</t>
  </si>
  <si>
    <t>exans purple</t>
  </si>
  <si>
    <t>exeggutor green</t>
  </si>
  <si>
    <t>farfetchd silver</t>
  </si>
  <si>
    <t>fennekin silver</t>
  </si>
  <si>
    <t>feraligatr blue</t>
  </si>
  <si>
    <t>flareon red</t>
  </si>
  <si>
    <t>fluttermane silver</t>
  </si>
  <si>
    <t>flygon green</t>
  </si>
  <si>
    <t>froakie chespin fennekin silver</t>
  </si>
  <si>
    <t>froakie silver</t>
  </si>
  <si>
    <t>garchomp gold</t>
  </si>
  <si>
    <t>gardevoir purple</t>
  </si>
  <si>
    <t>gardevoir silver</t>
  </si>
  <si>
    <t>gardevoir silver 2</t>
  </si>
  <si>
    <t>gastly purple</t>
  </si>
  <si>
    <t>genesect silver</t>
  </si>
  <si>
    <t>gengar gold</t>
  </si>
  <si>
    <t>gengar purple</t>
  </si>
  <si>
    <t>geodude gold</t>
  </si>
  <si>
    <t>giratina silver</t>
  </si>
  <si>
    <t>glaceon blue</t>
  </si>
  <si>
    <t>gloom green</t>
  </si>
  <si>
    <t>goldbat gold</t>
  </si>
  <si>
    <t>golduck blue</t>
  </si>
  <si>
    <t>grimer purple</t>
  </si>
  <si>
    <t>grookey green</t>
  </si>
  <si>
    <t>grookey scorbunny sobble silver</t>
  </si>
  <si>
    <t>groudon red</t>
  </si>
  <si>
    <t>growlithe red</t>
  </si>
  <si>
    <t>gyarados blue</t>
  </si>
  <si>
    <t>gyarados gold</t>
  </si>
  <si>
    <t>gyarados red</t>
  </si>
  <si>
    <t>gyarados silver</t>
  </si>
  <si>
    <t>haunter purple</t>
  </si>
  <si>
    <t>hitmonchan silver</t>
  </si>
  <si>
    <t>hitmonlee brown</t>
  </si>
  <si>
    <t>hooh gold</t>
  </si>
  <si>
    <t>hooh red</t>
  </si>
  <si>
    <t>horsea blue</t>
  </si>
  <si>
    <t>hydreigon silver</t>
  </si>
  <si>
    <t>hypno gold</t>
  </si>
  <si>
    <t>infernape gallade gold</t>
  </si>
  <si>
    <t>ivysaur green</t>
  </si>
  <si>
    <t>jigglypuff pink 2</t>
  </si>
  <si>
    <t>jirachi gold</t>
  </si>
  <si>
    <t>jolteon silver</t>
  </si>
  <si>
    <t>kabuto gold</t>
  </si>
  <si>
    <t>kadabra purple</t>
  </si>
  <si>
    <t>kakuna gold</t>
  </si>
  <si>
    <t>kangaskhan silver</t>
  </si>
  <si>
    <t>kingler blue</t>
  </si>
  <si>
    <t>kleavor brown</t>
  </si>
  <si>
    <t>koffing purple</t>
  </si>
  <si>
    <t>koraidon red</t>
  </si>
  <si>
    <t>krabby blue</t>
  </si>
  <si>
    <t>kyogre blue</t>
  </si>
  <si>
    <t>lapras blue</t>
  </si>
  <si>
    <t>leafeon green</t>
  </si>
  <si>
    <t>lickitung silver</t>
  </si>
  <si>
    <t>litten red</t>
  </si>
  <si>
    <t>lucario gold</t>
  </si>
  <si>
    <t>lucario red</t>
  </si>
  <si>
    <t>lugia blue</t>
  </si>
  <si>
    <t>lugia gold</t>
  </si>
  <si>
    <t>lugia silver</t>
  </si>
  <si>
    <t>lugia silver 2</t>
  </si>
  <si>
    <t>lunala purple</t>
  </si>
  <si>
    <t>machamp brown</t>
  </si>
  <si>
    <t>machop brown</t>
  </si>
  <si>
    <t>magikarp gold</t>
  </si>
  <si>
    <t>magmar red</t>
  </si>
  <si>
    <t>magmortar electrivire gold</t>
  </si>
  <si>
    <t>magmortar electrivire red</t>
  </si>
  <si>
    <t>magnemite silver</t>
  </si>
  <si>
    <t>magneton gold</t>
  </si>
  <si>
    <t>manaphy blue</t>
  </si>
  <si>
    <t>mankey gold</t>
  </si>
  <si>
    <t>melmetal silver</t>
  </si>
  <si>
    <t>meowth gold</t>
  </si>
  <si>
    <t>meowth silver</t>
  </si>
  <si>
    <t>metagross silver</t>
  </si>
  <si>
    <t>metapod green</t>
  </si>
  <si>
    <t>mew blue</t>
  </si>
  <si>
    <t>mew gold</t>
  </si>
  <si>
    <t>mew pink</t>
  </si>
  <si>
    <t>mew silver</t>
  </si>
  <si>
    <t>mewtwo gold</t>
  </si>
  <si>
    <t>mewtwo purple</t>
  </si>
  <si>
    <t>miraidon purple</t>
  </si>
  <si>
    <t>moltres red</t>
  </si>
  <si>
    <t>mrmime pink</t>
  </si>
  <si>
    <t>mudkip blue</t>
  </si>
  <si>
    <t>muk purple</t>
  </si>
  <si>
    <t>munchlax gold</t>
  </si>
  <si>
    <t>munchlax silver</t>
  </si>
  <si>
    <t>nidoking purple</t>
  </si>
  <si>
    <t>nidoqueen pink</t>
  </si>
  <si>
    <t>ninetales gold</t>
  </si>
  <si>
    <t>ninetales red</t>
  </si>
  <si>
    <t>ninetales silver</t>
  </si>
  <si>
    <t>oddish green</t>
  </si>
  <si>
    <t>omanyte blue</t>
  </si>
  <si>
    <t>omastar blue</t>
  </si>
  <si>
    <t>onix brown</t>
  </si>
  <si>
    <t>palkia pink 1</t>
  </si>
  <si>
    <t>palkia pink 3</t>
  </si>
  <si>
    <t>palkia silver</t>
  </si>
  <si>
    <t>paras green</t>
  </si>
  <si>
    <t>parasect green</t>
  </si>
  <si>
    <t>parasect red</t>
  </si>
  <si>
    <t>persian silver</t>
  </si>
  <si>
    <t>pichu gold</t>
  </si>
  <si>
    <t>pidgeotto silver</t>
  </si>
  <si>
    <t>pikachu bulbasaur silver</t>
  </si>
  <si>
    <t>pikachu charizard mewtwo silver</t>
  </si>
  <si>
    <t>pikachu gold</t>
  </si>
  <si>
    <t>pikachu gold 11</t>
  </si>
  <si>
    <t>pikachu gold 10</t>
  </si>
  <si>
    <t>pikachu gold 2</t>
  </si>
  <si>
    <t>pikachu gold 3</t>
  </si>
  <si>
    <t>pikachu gold 4</t>
  </si>
  <si>
    <t>pikachu gold 5</t>
  </si>
  <si>
    <t>pikachu gold 6</t>
  </si>
  <si>
    <t>pikachu gold 7</t>
  </si>
  <si>
    <t>pikachu gold 8</t>
  </si>
  <si>
    <t>pikachu gold 9</t>
  </si>
  <si>
    <t>pikachu silver</t>
  </si>
  <si>
    <t>pikachu silver 2</t>
  </si>
  <si>
    <t>pikachu silver 3</t>
  </si>
  <si>
    <t>pikachu snorlax silver</t>
  </si>
  <si>
    <t>pinsir brown</t>
  </si>
  <si>
    <t>piplup blue</t>
  </si>
  <si>
    <t>poliwag blue</t>
  </si>
  <si>
    <t>ponyta blue</t>
  </si>
  <si>
    <t>ponyta red</t>
  </si>
  <si>
    <t>popplio blue</t>
  </si>
  <si>
    <t>porygon pink</t>
  </si>
  <si>
    <t>primal groudon red</t>
  </si>
  <si>
    <t>primal kyogre blue</t>
  </si>
  <si>
    <t>primeape brown</t>
  </si>
  <si>
    <t>psyduck gold</t>
  </si>
  <si>
    <t>raichu gold</t>
  </si>
  <si>
    <t>raichu gold 2</t>
  </si>
  <si>
    <t>raichu gold 3</t>
  </si>
  <si>
    <t>raichu silver</t>
  </si>
  <si>
    <t>raikou gold</t>
  </si>
  <si>
    <t>raticate silver</t>
  </si>
  <si>
    <t>rattata silver</t>
  </si>
  <si>
    <t>rayquaza gold</t>
  </si>
  <si>
    <t>rayquaza green</t>
  </si>
  <si>
    <t>rayquaza silver</t>
  </si>
  <si>
    <t>reshiram zekrom silver</t>
  </si>
  <si>
    <t>rhydon brown</t>
  </si>
  <si>
    <t>roaringbolt gold</t>
  </si>
  <si>
    <t>roaringbolt silver</t>
  </si>
  <si>
    <t>roaringmoon silver</t>
  </si>
  <si>
    <t>rotom silver</t>
  </si>
  <si>
    <t>rowlett green</t>
  </si>
  <si>
    <t>sableye silver</t>
  </si>
  <si>
    <t>salamance blue</t>
  </si>
  <si>
    <t>salamance gold</t>
  </si>
  <si>
    <t>sandshrew brown</t>
  </si>
  <si>
    <t>sandslash brown</t>
  </si>
  <si>
    <t>sceptile green</t>
  </si>
  <si>
    <t>scorbunny red</t>
  </si>
  <si>
    <t>scream tail pink</t>
  </si>
  <si>
    <t>scyther green</t>
  </si>
  <si>
    <t>seadra blue</t>
  </si>
  <si>
    <t>sirfetchd green</t>
  </si>
  <si>
    <t>slowbro pink</t>
  </si>
  <si>
    <t>slowpoke pink</t>
  </si>
  <si>
    <t>slowpoke purple</t>
  </si>
  <si>
    <t>snom blue</t>
  </si>
  <si>
    <t>snorlax blue</t>
  </si>
  <si>
    <t>sobble blue</t>
  </si>
  <si>
    <t>solgaleo gold</t>
  </si>
  <si>
    <t>spearow red</t>
  </si>
  <si>
    <t>sprigatito silver</t>
  </si>
  <si>
    <t>squirtle blue</t>
  </si>
  <si>
    <t>squirtle blue 2</t>
  </si>
  <si>
    <t>squirtle gold</t>
  </si>
  <si>
    <t>starmie gold</t>
  </si>
  <si>
    <t>staryu blue</t>
  </si>
  <si>
    <t>steelix silver</t>
  </si>
  <si>
    <t>stunfisk gold</t>
  </si>
  <si>
    <t>suicune silver</t>
  </si>
  <si>
    <t>swampert blue</t>
  </si>
  <si>
    <t>sylveon pink</t>
  </si>
  <si>
    <t>sylveon pink 2</t>
  </si>
  <si>
    <t>tangela green</t>
  </si>
  <si>
    <t>tauros silver</t>
  </si>
  <si>
    <t>teamaqua blue</t>
  </si>
  <si>
    <t>teammagma red</t>
  </si>
  <si>
    <t>teamplasma blue</t>
  </si>
  <si>
    <t>teamplasma silver</t>
  </si>
  <si>
    <t>teamplasma silver 2</t>
  </si>
  <si>
    <t>teamrocket blue</t>
  </si>
  <si>
    <t>teamrocket red</t>
  </si>
  <si>
    <t>teamrocket silver</t>
  </si>
  <si>
    <t>tentacool blue</t>
  </si>
  <si>
    <t>tentacruel blue</t>
  </si>
  <si>
    <t>terapagos blue</t>
  </si>
  <si>
    <t>togepi cleffa igglybuff pink</t>
  </si>
  <si>
    <t>torchic red</t>
  </si>
  <si>
    <t>totodile blue</t>
  </si>
  <si>
    <t>treeko green</t>
  </si>
  <si>
    <t>treeko torchic mudkip gold</t>
  </si>
  <si>
    <t>treeko torchic mudkip silver</t>
  </si>
  <si>
    <t>turtwig green</t>
  </si>
  <si>
    <t>tyranitar blue</t>
  </si>
  <si>
    <t>tyranitar gold</t>
  </si>
  <si>
    <t>tyranitar silver</t>
  </si>
  <si>
    <t>umbreon black</t>
  </si>
  <si>
    <t>umbreon pink</t>
  </si>
  <si>
    <t>urshifu blue</t>
  </si>
  <si>
    <t>urshifu red</t>
  </si>
  <si>
    <t>vaporeon silver</t>
  </si>
  <si>
    <t>venomoth purple</t>
  </si>
  <si>
    <t>venonat purple</t>
  </si>
  <si>
    <t>venusaur gold</t>
  </si>
  <si>
    <t>venusaur green</t>
  </si>
  <si>
    <t>victreebell green</t>
  </si>
  <si>
    <t>vileplume green</t>
  </si>
  <si>
    <t>volcanion red</t>
  </si>
  <si>
    <t>voltorb gold</t>
  </si>
  <si>
    <t>voltorb red</t>
  </si>
  <si>
    <t>vulpix red</t>
  </si>
  <si>
    <t>wartortle blue</t>
  </si>
  <si>
    <t>weedle green</t>
  </si>
  <si>
    <t>weepinbell green</t>
  </si>
  <si>
    <t>weezing purple</t>
  </si>
  <si>
    <t>wigglytuff pink</t>
  </si>
  <si>
    <t>wooloo silver</t>
  </si>
  <si>
    <t>xerneas blue</t>
  </si>
  <si>
    <t>xerneas silver</t>
  </si>
  <si>
    <t>yampa gold</t>
  </si>
  <si>
    <t>yveltal red</t>
  </si>
  <si>
    <t>yveltal silver</t>
  </si>
  <si>
    <t>zapdos gold</t>
  </si>
  <si>
    <t>zapdos gold 2</t>
  </si>
  <si>
    <t>zoroark silver</t>
  </si>
  <si>
    <t>zubat blue</t>
  </si>
  <si>
    <t>zz absol black</t>
  </si>
  <si>
    <t>zz altaria blue</t>
  </si>
  <si>
    <t>zz arceus silver</t>
  </si>
  <si>
    <t>zz blastoise blue</t>
  </si>
  <si>
    <t>zz charizard black</t>
  </si>
  <si>
    <t>zz charizard red</t>
  </si>
  <si>
    <t>zz charizard red 2</t>
  </si>
  <si>
    <t>zz chimchar red</t>
  </si>
  <si>
    <t>zz darkrai black</t>
  </si>
  <si>
    <t>zz eevee brown</t>
  </si>
  <si>
    <t>zz espeon umbreon silver</t>
  </si>
  <si>
    <t>zz gardevoir green</t>
  </si>
  <si>
    <t>zz gardevoir purple</t>
  </si>
  <si>
    <t>zz gengar silver</t>
  </si>
  <si>
    <t>zz glaceon blue</t>
  </si>
  <si>
    <t>zz goomy purple</t>
  </si>
  <si>
    <t>zz greninja blue</t>
  </si>
  <si>
    <t>zz gyarados blue</t>
  </si>
  <si>
    <t>zz hooh lugia gold</t>
  </si>
  <si>
    <t>zz lucario blue</t>
  </si>
  <si>
    <t>zz mewtwo green</t>
  </si>
  <si>
    <t>zz mewtwo purple</t>
  </si>
  <si>
    <t>zz mewtwo purple 2</t>
  </si>
  <si>
    <t>zz mewtwo purple 3</t>
  </si>
  <si>
    <t>zz mimikyu gold</t>
  </si>
  <si>
    <t>zz necrozma gold</t>
  </si>
  <si>
    <t>zz pichu gold</t>
  </si>
  <si>
    <t>zz pikachu gold</t>
  </si>
  <si>
    <t>zz psyduck gold</t>
  </si>
  <si>
    <t>zz quagsire blue</t>
  </si>
  <si>
    <t>zz silvally silver</t>
  </si>
  <si>
    <t>zz sprigatito green</t>
  </si>
  <si>
    <t>zz suicune blue</t>
  </si>
  <si>
    <t>zz sylveon pink</t>
  </si>
  <si>
    <t>zz toedscool red</t>
  </si>
  <si>
    <t>zz toxtricity purple</t>
  </si>
  <si>
    <t>zz tyranitar green</t>
  </si>
  <si>
    <t>zz venusaur green</t>
  </si>
  <si>
    <t>zz vulpix blue</t>
  </si>
  <si>
    <t>zz zoroark black</t>
  </si>
  <si>
    <t>zzz pokeball gold</t>
  </si>
  <si>
    <t>zzz pokeball red</t>
  </si>
  <si>
    <t>zzz pokeball silver</t>
  </si>
  <si>
    <t>zzzz acerola purple</t>
  </si>
  <si>
    <t>zzzz cynthia gold</t>
  </si>
  <si>
    <t>zzzz erika purple</t>
  </si>
  <si>
    <t>zzzz iono gold</t>
  </si>
  <si>
    <t>zzzz lillie purple</t>
  </si>
  <si>
    <t>zzzz lillie purple 2</t>
  </si>
  <si>
    <t>zzzz may red</t>
  </si>
  <si>
    <t>zzzz oak silver</t>
  </si>
  <si>
    <t>zzzz serena red</t>
  </si>
  <si>
    <t>zzzz trainerred red</t>
  </si>
  <si>
    <t>Nite 1</t>
  </si>
  <si>
    <t>Nite 2</t>
  </si>
  <si>
    <t xml:space="preserve">Nite 3 </t>
  </si>
  <si>
    <t>Nite 4</t>
  </si>
  <si>
    <t>Nite 5</t>
  </si>
  <si>
    <t>Nite 6</t>
  </si>
  <si>
    <t>Nite 7</t>
  </si>
  <si>
    <t>CELESTE HARBOUR
VERDANT FOREST
5</t>
  </si>
  <si>
    <t>CELESTE HARBOUR
VERDANT FOREST
6</t>
  </si>
  <si>
    <t>CELESTE HARBOUR
VERDANT FOREST
7</t>
  </si>
  <si>
    <t>CELESTE HARBOUR
4</t>
  </si>
  <si>
    <t>CELESTE HARBOUR
3</t>
  </si>
  <si>
    <t>CELESTE HARBOUR
2</t>
  </si>
  <si>
    <t>CELESTE HARBOUR
1</t>
  </si>
  <si>
    <t>CELESTE HARBOUR
VERDANT FOREST
8</t>
  </si>
  <si>
    <t>Eve 8</t>
  </si>
  <si>
    <t>Nite 8</t>
  </si>
  <si>
    <t>FOREST GYM LEADERS</t>
  </si>
  <si>
    <t>Gym Challenge Brock</t>
  </si>
  <si>
    <t>Gym Challenge Misty</t>
  </si>
  <si>
    <t>Gym Challenge Lt. Surge</t>
  </si>
  <si>
    <t>Gym Challenge Erika</t>
  </si>
  <si>
    <t>Gym Challenge Koga</t>
  </si>
  <si>
    <t>Gym Challenge Sabrina</t>
  </si>
  <si>
    <t>Gym Challenge Blaine</t>
  </si>
  <si>
    <t>Gym Challenge Giovanni</t>
  </si>
  <si>
    <t>GYM CHALLENGE
9</t>
  </si>
  <si>
    <t>Eve 9</t>
  </si>
  <si>
    <t>Nite 9</t>
  </si>
  <si>
    <t>Morn 1</t>
  </si>
  <si>
    <t>Morn 2</t>
  </si>
  <si>
    <t>After 3</t>
  </si>
  <si>
    <t>After 1</t>
  </si>
  <si>
    <t>After 2</t>
  </si>
  <si>
    <t>Morn 3</t>
  </si>
  <si>
    <t>RIVAL 1</t>
  </si>
  <si>
    <t>RIVAL 2</t>
  </si>
  <si>
    <t>RIVAL 3</t>
  </si>
  <si>
    <t>After 4</t>
  </si>
  <si>
    <t>RIVAL 4</t>
  </si>
  <si>
    <t>RIVAL 5</t>
  </si>
  <si>
    <t>EEVEE DECK 1</t>
  </si>
  <si>
    <t>EEVEE COIN 1</t>
  </si>
  <si>
    <t>EVEEON DECK 2</t>
  </si>
  <si>
    <t>EEVEE COIN 2</t>
  </si>
  <si>
    <t>SS EEVEE</t>
  </si>
  <si>
    <t>EEVEE COIN 3</t>
  </si>
  <si>
    <t>BEASTEON DECK</t>
  </si>
  <si>
    <t>EEVEE COIN 4</t>
  </si>
  <si>
    <t>DARK EON DECK</t>
  </si>
  <si>
    <t>EEVEE COIN 5</t>
  </si>
  <si>
    <t>After 5</t>
  </si>
  <si>
    <t>After 6</t>
  </si>
  <si>
    <t>RIVAL 6</t>
  </si>
  <si>
    <t>EEVIL EON DECK</t>
  </si>
  <si>
    <t>EEVEE COIN 6</t>
  </si>
  <si>
    <t>EEVEE COIN 7</t>
  </si>
  <si>
    <t>PRE GYM EON DECK</t>
  </si>
  <si>
    <t>RIVAL 7</t>
  </si>
  <si>
    <t>RIVAL 8</t>
  </si>
  <si>
    <t>Morn 4</t>
  </si>
  <si>
    <t>Morn 5</t>
  </si>
  <si>
    <t>Morn 6</t>
  </si>
  <si>
    <t>Morn 7</t>
  </si>
  <si>
    <t>Morn8</t>
  </si>
  <si>
    <t>Morn9</t>
  </si>
  <si>
    <t>After 9</t>
  </si>
  <si>
    <t>After 8</t>
  </si>
  <si>
    <t>After 7</t>
  </si>
  <si>
    <t>GYM CHALLENGE
10</t>
  </si>
  <si>
    <t>Morn10</t>
  </si>
  <si>
    <t>After 10</t>
  </si>
  <si>
    <t>Eve 10</t>
  </si>
  <si>
    <t>Nite 10</t>
  </si>
  <si>
    <t>GYM CHALLENGE
11</t>
  </si>
  <si>
    <t>GYM CHALLENGE
12</t>
  </si>
  <si>
    <t>GYM CHALLENGE
13</t>
  </si>
  <si>
    <t>GYM CHALLENGE
14</t>
  </si>
  <si>
    <t>GYM CHALLENGE
15</t>
  </si>
  <si>
    <t>Morn 11</t>
  </si>
  <si>
    <t>After 11</t>
  </si>
  <si>
    <t>Eve 11</t>
  </si>
  <si>
    <t>Nite 11</t>
  </si>
  <si>
    <t>Morn12</t>
  </si>
  <si>
    <t>After 12</t>
  </si>
  <si>
    <t>Eve 12</t>
  </si>
  <si>
    <t>Nite 12</t>
  </si>
  <si>
    <t>Morn13</t>
  </si>
  <si>
    <t>After 13</t>
  </si>
  <si>
    <t>Eve 13</t>
  </si>
  <si>
    <t>Nite 13</t>
  </si>
  <si>
    <t>Morn14</t>
  </si>
  <si>
    <t>After 14</t>
  </si>
  <si>
    <t>Eve 14</t>
  </si>
  <si>
    <t>Nite 14</t>
  </si>
  <si>
    <t>Morn 15</t>
  </si>
  <si>
    <t>After 15</t>
  </si>
  <si>
    <t>Eve 15</t>
  </si>
  <si>
    <t>Nite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</si>
</sst>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7DA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A75FF"/>
        <bgColor indexed="64"/>
      </patternFill>
    </fill>
    <fill>
      <patternFill patternType="solid">
        <fgColor rgb="FFC9E5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81FF"/>
        <bgColor indexed="64"/>
      </patternFill>
    </fill>
    <fill>
      <patternFill patternType="solid">
        <fgColor rgb="FFFEDF26"/>
        <bgColor indexed="64"/>
      </patternFill>
    </fill>
    <fill>
      <patternFill patternType="solid">
        <fgColor rgb="FFE68BFF"/>
        <bgColor indexed="64"/>
      </patternFill>
    </fill>
    <fill>
      <patternFill patternType="solid">
        <fgColor rgb="FF4FABFF"/>
        <bgColor indexed="64"/>
      </patternFill>
    </fill>
    <fill>
      <patternFill patternType="solid">
        <fgColor rgb="FFFDCBF2"/>
        <bgColor indexed="64"/>
      </patternFill>
    </fill>
    <fill>
      <patternFill patternType="solid">
        <fgColor rgb="FFE1FCFF"/>
        <bgColor indexed="64"/>
      </patternFill>
    </fill>
    <fill>
      <patternFill patternType="solid">
        <fgColor rgb="FFFFFEEB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5FEFF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E1F6"/>
        <bgColor indexed="64"/>
      </patternFill>
    </fill>
    <fill>
      <patternFill patternType="solid">
        <fgColor rgb="FFE7EDFF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rgb="FFD9FFF5"/>
        <bgColor indexed="64"/>
      </patternFill>
    </fill>
    <fill>
      <patternFill patternType="solid">
        <fgColor rgb="FFC1FFD1"/>
        <bgColor indexed="64"/>
      </patternFill>
    </fill>
    <fill>
      <patternFill patternType="solid">
        <fgColor rgb="FFE3FFD5"/>
        <bgColor indexed="64"/>
      </patternFill>
    </fill>
    <fill>
      <patternFill patternType="solid">
        <fgColor rgb="FFE5FFB7"/>
        <bgColor indexed="64"/>
      </patternFill>
    </fill>
    <fill>
      <patternFill patternType="solid">
        <fgColor rgb="FFFBFFC5"/>
        <bgColor indexed="64"/>
      </patternFill>
    </fill>
    <fill>
      <patternFill patternType="solid">
        <fgColor rgb="FFFFEA9F"/>
        <bgColor indexed="64"/>
      </patternFill>
    </fill>
    <fill>
      <patternFill patternType="solid">
        <fgColor rgb="FF81CFFF"/>
        <bgColor indexed="64"/>
      </patternFill>
    </fill>
    <fill>
      <patternFill patternType="solid">
        <fgColor rgb="FFECCDFF"/>
        <bgColor indexed="64"/>
      </patternFill>
    </fill>
    <fill>
      <patternFill patternType="solid">
        <fgColor rgb="FFFFEDAB"/>
        <bgColor indexed="64"/>
      </patternFill>
    </fill>
    <fill>
      <patternFill patternType="solid">
        <fgColor rgb="FFA1E9D3"/>
        <bgColor indexed="64"/>
      </patternFill>
    </fill>
    <fill>
      <patternFill patternType="solid">
        <fgColor rgb="FFFFBA9B"/>
        <bgColor indexed="64"/>
      </patternFill>
    </fill>
    <fill>
      <patternFill patternType="solid">
        <fgColor rgb="FF538CFF"/>
        <bgColor indexed="64"/>
      </patternFill>
    </fill>
    <fill>
      <patternFill patternType="solid">
        <fgColor rgb="FFFFC697"/>
        <bgColor indexed="64"/>
      </patternFill>
    </fill>
    <fill>
      <patternFill patternType="solid">
        <fgColor rgb="FFBF9FFF"/>
        <bgColor indexed="64"/>
      </patternFill>
    </fill>
    <fill>
      <patternFill patternType="solid">
        <fgColor rgb="FFFEEBD6"/>
        <bgColor indexed="64"/>
      </patternFill>
    </fill>
    <fill>
      <patternFill patternType="solid">
        <fgColor rgb="FFFFDBB7"/>
        <bgColor indexed="64"/>
      </patternFill>
    </fill>
    <fill>
      <patternFill patternType="solid">
        <fgColor rgb="FFFFF5B7"/>
        <bgColor indexed="64"/>
      </patternFill>
    </fill>
    <fill>
      <patternFill patternType="solid">
        <fgColor rgb="FFFF01F3"/>
        <bgColor indexed="64"/>
      </patternFill>
    </fill>
    <fill>
      <patternFill patternType="solid">
        <fgColor rgb="FFFF65F4"/>
        <bgColor indexed="64"/>
      </patternFill>
    </fill>
    <fill>
      <patternFill patternType="solid">
        <fgColor rgb="FFFFA225"/>
        <bgColor indexed="64"/>
      </patternFill>
    </fill>
    <fill>
      <patternFill patternType="solid">
        <fgColor rgb="FFF6EA00"/>
        <bgColor indexed="64"/>
      </patternFill>
    </fill>
    <fill>
      <patternFill patternType="solid">
        <fgColor rgb="FFFF6E1D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20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1" xfId="1"/>
    <xf numFmtId="0" fontId="2" fillId="0" borderId="1" xfId="1" applyAlignment="1">
      <alignment horizontal="left"/>
    </xf>
    <xf numFmtId="0" fontId="0" fillId="19" borderId="0" xfId="0" applyFill="1"/>
    <xf numFmtId="0" fontId="1" fillId="19" borderId="0" xfId="0" applyFont="1" applyFill="1"/>
    <xf numFmtId="0" fontId="0" fillId="19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2" fillId="0" borderId="1" xfId="1" applyAlignment="1">
      <alignment horizontal="center"/>
    </xf>
    <xf numFmtId="0" fontId="1" fillId="19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center" vertical="center"/>
    </xf>
    <xf numFmtId="0" fontId="3" fillId="30" borderId="6" xfId="0" applyFont="1" applyFill="1" applyBorder="1" applyAlignment="1">
      <alignment horizontal="center" vertical="center"/>
    </xf>
    <xf numFmtId="0" fontId="3" fillId="2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4" fillId="0" borderId="0" xfId="0" applyFont="1"/>
    <xf numFmtId="0" fontId="3" fillId="19" borderId="0" xfId="0" applyFont="1" applyFill="1"/>
    <xf numFmtId="0" fontId="4" fillId="19" borderId="0" xfId="0" applyFont="1" applyFill="1"/>
    <xf numFmtId="0" fontId="3" fillId="0" borderId="0" xfId="0" applyFont="1" applyAlignment="1">
      <alignment horizontal="center" vertical="center"/>
    </xf>
    <xf numFmtId="0" fontId="6" fillId="0" borderId="1" xfId="1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3" fillId="16" borderId="10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19" borderId="11" xfId="0" applyFont="1" applyFill="1" applyBorder="1"/>
    <xf numFmtId="0" fontId="4" fillId="19" borderId="1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4" fillId="14" borderId="11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9" borderId="11" xfId="0" applyFont="1" applyFill="1" applyBorder="1"/>
    <xf numFmtId="0" fontId="3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0" borderId="16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31" borderId="16" xfId="0" applyFont="1" applyFill="1" applyBorder="1" applyAlignment="1">
      <alignment horizontal="center" vertical="center"/>
    </xf>
    <xf numFmtId="0" fontId="3" fillId="32" borderId="17" xfId="0" applyFont="1" applyFill="1" applyBorder="1" applyAlignment="1">
      <alignment horizontal="center" vertical="center"/>
    </xf>
    <xf numFmtId="0" fontId="3" fillId="31" borderId="11" xfId="0" applyFont="1" applyFill="1" applyBorder="1" applyAlignment="1">
      <alignment horizontal="center" vertical="center"/>
    </xf>
    <xf numFmtId="0" fontId="3" fillId="32" borderId="12" xfId="0" applyFont="1" applyFill="1" applyBorder="1" applyAlignment="1">
      <alignment horizontal="center" vertical="center"/>
    </xf>
    <xf numFmtId="0" fontId="1" fillId="19" borderId="11" xfId="0" applyFont="1" applyFill="1" applyBorder="1"/>
    <xf numFmtId="0" fontId="0" fillId="19" borderId="12" xfId="0" applyFill="1" applyBorder="1"/>
    <xf numFmtId="0" fontId="0" fillId="19" borderId="11" xfId="0" applyFill="1" applyBorder="1"/>
    <xf numFmtId="0" fontId="3" fillId="36" borderId="16" xfId="0" applyFont="1" applyFill="1" applyBorder="1" applyAlignment="1">
      <alignment horizontal="center" vertical="center"/>
    </xf>
    <xf numFmtId="0" fontId="3" fillId="36" borderId="11" xfId="0" applyFont="1" applyFill="1" applyBorder="1" applyAlignment="1">
      <alignment horizontal="center" vertical="center"/>
    </xf>
    <xf numFmtId="0" fontId="3" fillId="37" borderId="6" xfId="0" applyFont="1" applyFill="1" applyBorder="1" applyAlignment="1">
      <alignment horizontal="center" vertical="center"/>
    </xf>
    <xf numFmtId="0" fontId="3" fillId="37" borderId="0" xfId="0" applyFont="1" applyFill="1" applyAlignment="1">
      <alignment horizontal="center" vertical="center"/>
    </xf>
    <xf numFmtId="0" fontId="3" fillId="38" borderId="17" xfId="0" applyFont="1" applyFill="1" applyBorder="1" applyAlignment="1">
      <alignment horizontal="center" vertical="center"/>
    </xf>
    <xf numFmtId="0" fontId="3" fillId="38" borderId="12" xfId="0" applyFont="1" applyFill="1" applyBorder="1" applyAlignment="1">
      <alignment horizontal="center" vertical="center"/>
    </xf>
    <xf numFmtId="0" fontId="4" fillId="39" borderId="0" xfId="0" applyFont="1" applyFill="1" applyAlignment="1">
      <alignment horizontal="center" vertical="center"/>
    </xf>
    <xf numFmtId="0" fontId="3" fillId="39" borderId="2" xfId="0" applyFont="1" applyFill="1" applyBorder="1" applyAlignment="1">
      <alignment horizontal="center" vertical="center"/>
    </xf>
    <xf numFmtId="0" fontId="3" fillId="39" borderId="0" xfId="0" applyFont="1" applyFill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center" textRotation="90"/>
    </xf>
    <xf numFmtId="0" fontId="1" fillId="7" borderId="0" xfId="0" applyFont="1" applyFill="1" applyAlignment="1">
      <alignment vertical="center" textRotation="90"/>
    </xf>
    <xf numFmtId="0" fontId="3" fillId="40" borderId="2" xfId="0" applyFont="1" applyFill="1" applyBorder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4" fillId="40" borderId="0" xfId="0" applyFont="1" applyFill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3" fillId="41" borderId="0" xfId="0" applyFont="1" applyFill="1" applyAlignment="1">
      <alignment horizontal="center" vertical="center"/>
    </xf>
    <xf numFmtId="0" fontId="4" fillId="41" borderId="0" xfId="0" applyFont="1" applyFill="1" applyAlignment="1">
      <alignment horizontal="center" vertical="center"/>
    </xf>
    <xf numFmtId="0" fontId="4" fillId="42" borderId="11" xfId="0" applyFont="1" applyFill="1" applyBorder="1" applyAlignment="1">
      <alignment horizontal="center" vertical="center"/>
    </xf>
    <xf numFmtId="0" fontId="4" fillId="43" borderId="11" xfId="0" applyFont="1" applyFill="1" applyBorder="1" applyAlignment="1">
      <alignment horizontal="center" vertical="center"/>
    </xf>
    <xf numFmtId="0" fontId="3" fillId="44" borderId="2" xfId="0" applyFont="1" applyFill="1" applyBorder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4" fillId="44" borderId="0" xfId="0" applyFont="1" applyFill="1" applyAlignment="1">
      <alignment horizontal="center" vertical="center"/>
    </xf>
    <xf numFmtId="0" fontId="3" fillId="45" borderId="2" xfId="0" applyFont="1" applyFill="1" applyBorder="1" applyAlignment="1">
      <alignment horizontal="center" vertical="center"/>
    </xf>
    <xf numFmtId="0" fontId="3" fillId="45" borderId="0" xfId="0" applyFont="1" applyFill="1" applyAlignment="1">
      <alignment horizontal="center" vertical="center"/>
    </xf>
    <xf numFmtId="0" fontId="3" fillId="46" borderId="2" xfId="0" applyFont="1" applyFill="1" applyBorder="1" applyAlignment="1">
      <alignment horizontal="center" vertical="center"/>
    </xf>
    <xf numFmtId="0" fontId="3" fillId="46" borderId="0" xfId="0" applyFont="1" applyFill="1" applyAlignment="1">
      <alignment horizontal="center" vertical="center"/>
    </xf>
    <xf numFmtId="0" fontId="4" fillId="46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 textRotation="90"/>
    </xf>
    <xf numFmtId="0" fontId="3" fillId="42" borderId="0" xfId="0" applyFont="1" applyFill="1" applyAlignment="1">
      <alignment horizontal="center" vertical="center"/>
    </xf>
    <xf numFmtId="0" fontId="4" fillId="4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5" borderId="15" xfId="0" applyFont="1" applyFill="1" applyBorder="1" applyAlignment="1">
      <alignment horizontal="center" vertical="center" wrapText="1"/>
    </xf>
    <xf numFmtId="0" fontId="3" fillId="35" borderId="8" xfId="0" applyFont="1" applyFill="1" applyBorder="1" applyAlignment="1">
      <alignment horizontal="center" vertical="center" wrapText="1"/>
    </xf>
    <xf numFmtId="0" fontId="4" fillId="35" borderId="8" xfId="0" applyFont="1" applyFill="1" applyBorder="1"/>
    <xf numFmtId="0" fontId="4" fillId="35" borderId="9" xfId="0" applyFont="1" applyFill="1" applyBorder="1"/>
    <xf numFmtId="0" fontId="3" fillId="29" borderId="18" xfId="0" applyFont="1" applyFill="1" applyBorder="1" applyAlignment="1">
      <alignment horizontal="center"/>
    </xf>
    <xf numFmtId="0" fontId="3" fillId="29" borderId="20" xfId="0" applyFont="1" applyFill="1" applyBorder="1" applyAlignment="1">
      <alignment horizontal="center"/>
    </xf>
    <xf numFmtId="0" fontId="4" fillId="29" borderId="3" xfId="0" applyFont="1" applyFill="1" applyBorder="1"/>
    <xf numFmtId="0" fontId="4" fillId="29" borderId="19" xfId="0" applyFont="1" applyFill="1" applyBorder="1"/>
    <xf numFmtId="0" fontId="3" fillId="29" borderId="15" xfId="0" applyFont="1" applyFill="1" applyBorder="1" applyAlignment="1">
      <alignment horizontal="center" vertical="center" wrapText="1"/>
    </xf>
    <xf numFmtId="0" fontId="3" fillId="29" borderId="8" xfId="0" applyFont="1" applyFill="1" applyBorder="1" applyAlignment="1">
      <alignment horizontal="center" vertical="center" wrapText="1"/>
    </xf>
    <xf numFmtId="0" fontId="4" fillId="29" borderId="8" xfId="0" applyFont="1" applyFill="1" applyBorder="1"/>
    <xf numFmtId="0" fontId="4" fillId="29" borderId="9" xfId="0" applyFont="1" applyFill="1" applyBorder="1"/>
    <xf numFmtId="0" fontId="3" fillId="28" borderId="15" xfId="0" applyFont="1" applyFill="1" applyBorder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0" fontId="4" fillId="28" borderId="8" xfId="0" applyFont="1" applyFill="1" applyBorder="1"/>
    <xf numFmtId="0" fontId="4" fillId="28" borderId="9" xfId="0" applyFont="1" applyFill="1" applyBorder="1"/>
    <xf numFmtId="0" fontId="3" fillId="6" borderId="24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7" borderId="15" xfId="0" applyFont="1" applyFill="1" applyBorder="1" applyAlignment="1">
      <alignment horizontal="center" vertical="center" wrapText="1"/>
    </xf>
    <xf numFmtId="0" fontId="3" fillId="27" borderId="8" xfId="0" applyFont="1" applyFill="1" applyBorder="1" applyAlignment="1">
      <alignment horizontal="center" vertical="center" wrapText="1"/>
    </xf>
    <xf numFmtId="0" fontId="4" fillId="27" borderId="8" xfId="0" applyFont="1" applyFill="1" applyBorder="1"/>
    <xf numFmtId="0" fontId="4" fillId="27" borderId="9" xfId="0" applyFont="1" applyFill="1" applyBorder="1"/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4" fillId="25" borderId="0" xfId="0" applyFont="1" applyFill="1"/>
    <xf numFmtId="0" fontId="4" fillId="25" borderId="12" xfId="0" applyFont="1" applyFill="1" applyBorder="1"/>
    <xf numFmtId="0" fontId="1" fillId="0" borderId="4" xfId="0" applyFont="1" applyBorder="1" applyAlignment="1">
      <alignment horizontal="center"/>
    </xf>
    <xf numFmtId="0" fontId="0" fillId="0" borderId="0" xfId="0"/>
    <xf numFmtId="0" fontId="0" fillId="0" borderId="4" xfId="0" applyBorder="1"/>
    <xf numFmtId="0" fontId="1" fillId="5" borderId="0" xfId="0" applyFont="1" applyFill="1" applyAlignment="1">
      <alignment horizontal="right" vertical="center" wrapText="1"/>
    </xf>
    <xf numFmtId="0" fontId="3" fillId="27" borderId="13" xfId="0" applyFont="1" applyFill="1" applyBorder="1" applyAlignment="1">
      <alignment horizontal="center"/>
    </xf>
    <xf numFmtId="0" fontId="3" fillId="27" borderId="0" xfId="0" applyFont="1" applyFill="1" applyAlignment="1">
      <alignment horizontal="center"/>
    </xf>
    <xf numFmtId="0" fontId="4" fillId="27" borderId="0" xfId="0" applyFont="1" applyFill="1"/>
    <xf numFmtId="0" fontId="4" fillId="27" borderId="12" xfId="0" applyFont="1" applyFill="1" applyBorder="1"/>
    <xf numFmtId="0" fontId="3" fillId="26" borderId="13" xfId="0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4" fillId="26" borderId="0" xfId="0" applyFont="1" applyFill="1"/>
    <xf numFmtId="0" fontId="4" fillId="26" borderId="12" xfId="0" applyFont="1" applyFill="1" applyBorder="1"/>
    <xf numFmtId="0" fontId="1" fillId="4" borderId="4" xfId="0" applyFont="1" applyFill="1" applyBorder="1" applyAlignment="1">
      <alignment horizontal="center"/>
    </xf>
    <xf numFmtId="0" fontId="1" fillId="10" borderId="0" xfId="0" applyFont="1" applyFill="1" applyAlignment="1">
      <alignment horizontal="center" vertical="center" textRotation="90"/>
    </xf>
    <xf numFmtId="0" fontId="3" fillId="35" borderId="18" xfId="0" applyFont="1" applyFill="1" applyBorder="1" applyAlignment="1">
      <alignment horizontal="center"/>
    </xf>
    <xf numFmtId="0" fontId="3" fillId="35" borderId="20" xfId="0" applyFont="1" applyFill="1" applyBorder="1" applyAlignment="1">
      <alignment horizontal="center"/>
    </xf>
    <xf numFmtId="0" fontId="4" fillId="35" borderId="3" xfId="0" applyFont="1" applyFill="1" applyBorder="1"/>
    <xf numFmtId="0" fontId="4" fillId="35" borderId="19" xfId="0" applyFont="1" applyFill="1" applyBorder="1"/>
    <xf numFmtId="0" fontId="3" fillId="24" borderId="13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12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4" fillId="0" borderId="3" xfId="0" applyFont="1" applyBorder="1"/>
    <xf numFmtId="0" fontId="1" fillId="0" borderId="0" xfId="0" applyFont="1" applyAlignment="1">
      <alignment horizontal="center"/>
    </xf>
    <xf numFmtId="0" fontId="3" fillId="24" borderId="7" xfId="0" applyFont="1" applyFill="1" applyBorder="1" applyAlignment="1">
      <alignment horizontal="center" vertical="center" wrapText="1"/>
    </xf>
    <xf numFmtId="0" fontId="3" fillId="24" borderId="8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 wrapText="1"/>
    </xf>
    <xf numFmtId="0" fontId="3" fillId="26" borderId="7" xfId="0" applyFont="1" applyFill="1" applyBorder="1" applyAlignment="1">
      <alignment horizontal="center" vertical="center" wrapText="1"/>
    </xf>
    <xf numFmtId="0" fontId="3" fillId="26" borderId="8" xfId="0" applyFont="1" applyFill="1" applyBorder="1" applyAlignment="1">
      <alignment horizontal="center" vertical="center" wrapText="1"/>
    </xf>
    <xf numFmtId="0" fontId="3" fillId="26" borderId="9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3" fillId="23" borderId="13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3" borderId="12" xfId="0" applyFont="1" applyFill="1" applyBorder="1"/>
    <xf numFmtId="0" fontId="3" fillId="25" borderId="7" xfId="0" applyFont="1" applyFill="1" applyBorder="1" applyAlignment="1">
      <alignment horizontal="center" vertical="center" wrapText="1"/>
    </xf>
    <xf numFmtId="0" fontId="3" fillId="25" borderId="8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/>
    </xf>
    <xf numFmtId="0" fontId="3" fillId="33" borderId="15" xfId="0" applyFont="1" applyFill="1" applyBorder="1" applyAlignment="1">
      <alignment horizontal="center" vertical="center" wrapText="1"/>
    </xf>
    <xf numFmtId="0" fontId="3" fillId="33" borderId="8" xfId="0" applyFont="1" applyFill="1" applyBorder="1" applyAlignment="1">
      <alignment horizontal="center" vertical="center" wrapText="1"/>
    </xf>
    <xf numFmtId="0" fontId="4" fillId="33" borderId="8" xfId="0" applyFont="1" applyFill="1" applyBorder="1"/>
    <xf numFmtId="0" fontId="4" fillId="33" borderId="9" xfId="0" applyFont="1" applyFill="1" applyBorder="1"/>
    <xf numFmtId="0" fontId="1" fillId="4" borderId="0" xfId="0" applyFont="1" applyFill="1" applyAlignment="1">
      <alignment horizontal="right" vertical="center" wrapText="1"/>
    </xf>
    <xf numFmtId="0" fontId="3" fillId="23" borderId="7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 wrapText="1"/>
    </xf>
    <xf numFmtId="0" fontId="3" fillId="28" borderId="13" xfId="0" applyFont="1" applyFill="1" applyBorder="1" applyAlignment="1">
      <alignment horizontal="center"/>
    </xf>
    <xf numFmtId="0" fontId="3" fillId="28" borderId="0" xfId="0" applyFont="1" applyFill="1" applyAlignment="1">
      <alignment horizontal="center"/>
    </xf>
    <xf numFmtId="0" fontId="4" fillId="28" borderId="0" xfId="0" applyFont="1" applyFill="1"/>
    <xf numFmtId="0" fontId="4" fillId="28" borderId="12" xfId="0" applyFont="1" applyFill="1" applyBorder="1"/>
    <xf numFmtId="0" fontId="1" fillId="34" borderId="0" xfId="0" applyFont="1" applyFill="1" applyAlignment="1">
      <alignment horizontal="center" vertical="center" textRotation="90"/>
    </xf>
    <xf numFmtId="0" fontId="3" fillId="33" borderId="18" xfId="0" applyFont="1" applyFill="1" applyBorder="1" applyAlignment="1">
      <alignment horizontal="center"/>
    </xf>
    <xf numFmtId="0" fontId="3" fillId="33" borderId="20" xfId="0" applyFont="1" applyFill="1" applyBorder="1" applyAlignment="1">
      <alignment horizontal="center"/>
    </xf>
    <xf numFmtId="0" fontId="4" fillId="33" borderId="3" xfId="0" applyFont="1" applyFill="1" applyBorder="1"/>
    <xf numFmtId="0" fontId="4" fillId="33" borderId="19" xfId="0" applyFont="1" applyFill="1" applyBorder="1"/>
  </cellXfs>
  <cellStyles count="2">
    <cellStyle name="Heading 3" xfId="1" builtinId="18"/>
    <cellStyle name="Normal" xfId="0" builtinId="0"/>
  </cellStyles>
  <dxfs count="2">
    <dxf>
      <numFmt numFmtId="0" formatCode="General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01F3"/>
      <color rgb="FFF6EA00"/>
      <color rgb="FFFF6E1D"/>
      <color rgb="FFF0F600"/>
      <color rgb="FFFFA225"/>
      <color rgb="FFFF65F4"/>
      <color rgb="FFFFF5B7"/>
      <color rgb="FFFFDBB7"/>
      <color rgb="FFFEEBD6"/>
      <color rgb="FFFFBA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19" totalsRowShown="0" headerRowDxfId="1">
  <autoFilter ref="A1:B419" xr:uid="{00000000-0009-0000-0100-000001000000}"/>
  <sortState xmlns:xlrd2="http://schemas.microsoft.com/office/spreadsheetml/2017/richdata2" ref="A2:B184">
    <sortCondition ref="B1:B184"/>
  </sortState>
  <tableColumns count="2">
    <tableColumn id="1" xr3:uid="{00000000-0010-0000-0000-000001000000}" name="Coin"/>
    <tableColumn id="2" xr3:uid="{00000000-0010-0000-0000-000002000000}" name="Granted By" dataDxfId="0">
      <calculatedColumnFormula>_xlfn.XLOOKUP(A2, opponents_table!F:F, opponents_table!B:B, "", 0)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3"/>
  <sheetViews>
    <sheetView tabSelected="1" zoomScale="85" zoomScaleNormal="85" workbookViewId="0">
      <pane xSplit="2" ySplit="8" topLeftCell="J9" activePane="bottomRight" state="frozen"/>
      <selection pane="topRight" activeCell="C1" sqref="C1"/>
      <selection pane="bottomLeft" activeCell="A9" sqref="A9"/>
      <selection pane="bottomRight" activeCell="BA94" sqref="BA94"/>
    </sheetView>
  </sheetViews>
  <sheetFormatPr defaultRowHeight="14.5" x14ac:dyDescent="0.35"/>
  <cols>
    <col min="1" max="1" width="4.7265625" customWidth="1"/>
    <col min="2" max="2" width="23.81640625" bestFit="1" customWidth="1"/>
    <col min="3" max="3" width="7.26953125" style="11" customWidth="1"/>
    <col min="4" max="4" width="6.54296875" style="1" bestFit="1" customWidth="1"/>
    <col min="5" max="5" width="25.54296875" customWidth="1"/>
    <col min="6" max="6" width="23.81640625" bestFit="1" customWidth="1"/>
    <col min="7" max="7" width="6.54296875" style="48" customWidth="1"/>
    <col min="8" max="10" width="6.54296875" style="37" customWidth="1"/>
    <col min="11" max="11" width="6.54296875" style="48" customWidth="1"/>
    <col min="12" max="14" width="6.54296875" style="37" customWidth="1"/>
    <col min="15" max="15" width="6.54296875" style="62" customWidth="1"/>
    <col min="16" max="18" width="6.54296875" style="31" customWidth="1"/>
    <col min="19" max="19" width="6.54296875" style="62" customWidth="1"/>
    <col min="20" max="22" width="6.54296875" style="31" customWidth="1"/>
    <col min="23" max="23" width="6.54296875" style="62" customWidth="1"/>
    <col min="24" max="26" width="6.54296875" style="31" customWidth="1"/>
    <col min="27" max="27" width="6.54296875" style="62" customWidth="1"/>
    <col min="28" max="30" width="6.54296875" style="31" customWidth="1"/>
    <col min="31" max="31" width="6.54296875" style="62" customWidth="1"/>
    <col min="32" max="34" width="6.54296875" style="31" customWidth="1"/>
    <col min="35" max="35" width="6.54296875" style="51" customWidth="1"/>
    <col min="36" max="37" width="6.54296875" customWidth="1"/>
    <col min="38" max="38" width="6.54296875" style="52" customWidth="1"/>
    <col min="39" max="46" width="6.54296875" customWidth="1"/>
    <col min="47" max="47" width="6.54296875" style="62" customWidth="1"/>
    <col min="48" max="50" width="6.54296875" style="31" customWidth="1"/>
    <col min="51" max="51" width="6.54296875" style="51" customWidth="1"/>
    <col min="52" max="53" width="6.54296875" customWidth="1"/>
    <col min="54" max="54" width="6.54296875" style="52" customWidth="1"/>
    <col min="55" max="62" width="6.54296875" customWidth="1"/>
    <col min="63" max="63" width="6.54296875" style="62" customWidth="1"/>
    <col min="64" max="66" width="6.54296875" style="31" customWidth="1"/>
  </cols>
  <sheetData>
    <row r="1" spans="1:66" ht="41.25" customHeight="1" x14ac:dyDescent="0.35">
      <c r="G1" s="192" t="s">
        <v>771</v>
      </c>
      <c r="H1" s="193"/>
      <c r="I1" s="193"/>
      <c r="J1" s="194"/>
      <c r="K1" s="172" t="s">
        <v>770</v>
      </c>
      <c r="L1" s="173"/>
      <c r="M1" s="173"/>
      <c r="N1" s="174"/>
      <c r="O1" s="183" t="s">
        <v>769</v>
      </c>
      <c r="P1" s="184"/>
      <c r="Q1" s="184"/>
      <c r="R1" s="185"/>
      <c r="S1" s="175" t="s">
        <v>768</v>
      </c>
      <c r="T1" s="176"/>
      <c r="U1" s="176"/>
      <c r="V1" s="177"/>
      <c r="W1" s="139" t="s">
        <v>765</v>
      </c>
      <c r="X1" s="140"/>
      <c r="Y1" s="141"/>
      <c r="Z1" s="142"/>
      <c r="AA1" s="131" t="s">
        <v>766</v>
      </c>
      <c r="AB1" s="132"/>
      <c r="AC1" s="133"/>
      <c r="AD1" s="134"/>
      <c r="AE1" s="127" t="s">
        <v>767</v>
      </c>
      <c r="AF1" s="128"/>
      <c r="AG1" s="129"/>
      <c r="AH1" s="130"/>
      <c r="AI1" s="187" t="s">
        <v>772</v>
      </c>
      <c r="AJ1" s="188"/>
      <c r="AK1" s="189"/>
      <c r="AL1" s="190"/>
      <c r="AM1" s="119" t="s">
        <v>784</v>
      </c>
      <c r="AN1" s="120"/>
      <c r="AO1" s="121"/>
      <c r="AP1" s="122"/>
      <c r="AQ1" s="119" t="s">
        <v>827</v>
      </c>
      <c r="AR1" s="120"/>
      <c r="AS1" s="121"/>
      <c r="AT1" s="122"/>
      <c r="AU1" s="119" t="s">
        <v>832</v>
      </c>
      <c r="AV1" s="120"/>
      <c r="AW1" s="121"/>
      <c r="AX1" s="122"/>
      <c r="AY1" s="119" t="s">
        <v>833</v>
      </c>
      <c r="AZ1" s="120"/>
      <c r="BA1" s="121"/>
      <c r="BB1" s="122"/>
      <c r="BC1" s="119" t="s">
        <v>834</v>
      </c>
      <c r="BD1" s="120"/>
      <c r="BE1" s="121"/>
      <c r="BF1" s="122"/>
      <c r="BG1" s="119" t="s">
        <v>835</v>
      </c>
      <c r="BH1" s="120"/>
      <c r="BI1" s="121"/>
      <c r="BJ1" s="122"/>
      <c r="BK1" s="119" t="s">
        <v>836</v>
      </c>
      <c r="BL1" s="120"/>
      <c r="BM1" s="121"/>
      <c r="BN1" s="122"/>
    </row>
    <row r="2" spans="1:66" ht="16.5" customHeight="1" thickBot="1" x14ac:dyDescent="0.4">
      <c r="G2" s="39" t="s">
        <v>787</v>
      </c>
      <c r="H2" s="19" t="s">
        <v>790</v>
      </c>
      <c r="I2" s="92" t="s">
        <v>1</v>
      </c>
      <c r="J2" s="20" t="s">
        <v>758</v>
      </c>
      <c r="K2" s="55" t="s">
        <v>788</v>
      </c>
      <c r="L2" s="101" t="s">
        <v>791</v>
      </c>
      <c r="M2" s="98" t="s">
        <v>2</v>
      </c>
      <c r="N2" s="21" t="s">
        <v>759</v>
      </c>
      <c r="O2" s="59" t="s">
        <v>792</v>
      </c>
      <c r="P2" s="22" t="s">
        <v>789</v>
      </c>
      <c r="Q2" s="106" t="s">
        <v>3</v>
      </c>
      <c r="R2" s="23" t="s">
        <v>760</v>
      </c>
      <c r="S2" s="69" t="s">
        <v>818</v>
      </c>
      <c r="T2" s="109" t="s">
        <v>796</v>
      </c>
      <c r="U2" s="111" t="s">
        <v>4</v>
      </c>
      <c r="V2" s="24" t="s">
        <v>761</v>
      </c>
      <c r="W2" s="39" t="s">
        <v>819</v>
      </c>
      <c r="X2" s="19" t="s">
        <v>809</v>
      </c>
      <c r="Y2" s="92" t="s">
        <v>5</v>
      </c>
      <c r="Z2" s="20" t="s">
        <v>762</v>
      </c>
      <c r="AA2" s="55" t="s">
        <v>820</v>
      </c>
      <c r="AB2" s="101" t="s">
        <v>810</v>
      </c>
      <c r="AC2" s="98" t="s">
        <v>6</v>
      </c>
      <c r="AD2" s="20" t="s">
        <v>763</v>
      </c>
      <c r="AE2" s="73" t="s">
        <v>821</v>
      </c>
      <c r="AF2" s="25" t="s">
        <v>826</v>
      </c>
      <c r="AG2" s="106" t="s">
        <v>7</v>
      </c>
      <c r="AH2" s="27" t="s">
        <v>764</v>
      </c>
      <c r="AI2" s="78" t="s">
        <v>822</v>
      </c>
      <c r="AJ2" s="26" t="s">
        <v>825</v>
      </c>
      <c r="AK2" s="26" t="s">
        <v>773</v>
      </c>
      <c r="AL2" s="79" t="s">
        <v>774</v>
      </c>
      <c r="AM2" s="85" t="s">
        <v>823</v>
      </c>
      <c r="AN2" s="87" t="s">
        <v>824</v>
      </c>
      <c r="AO2" s="87" t="s">
        <v>785</v>
      </c>
      <c r="AP2" s="89" t="s">
        <v>786</v>
      </c>
      <c r="AQ2" s="85" t="s">
        <v>828</v>
      </c>
      <c r="AR2" s="87" t="s">
        <v>829</v>
      </c>
      <c r="AS2" s="87" t="s">
        <v>830</v>
      </c>
      <c r="AT2" s="89" t="s">
        <v>831</v>
      </c>
      <c r="AU2" s="73" t="s">
        <v>837</v>
      </c>
      <c r="AV2" s="25" t="s">
        <v>838</v>
      </c>
      <c r="AW2" s="106" t="s">
        <v>839</v>
      </c>
      <c r="AX2" s="27" t="s">
        <v>840</v>
      </c>
      <c r="AY2" s="78" t="s">
        <v>841</v>
      </c>
      <c r="AZ2" s="26" t="s">
        <v>842</v>
      </c>
      <c r="BA2" s="26" t="s">
        <v>843</v>
      </c>
      <c r="BB2" s="79" t="s">
        <v>844</v>
      </c>
      <c r="BC2" s="85" t="s">
        <v>845</v>
      </c>
      <c r="BD2" s="87" t="s">
        <v>846</v>
      </c>
      <c r="BE2" s="87" t="s">
        <v>847</v>
      </c>
      <c r="BF2" s="89" t="s">
        <v>848</v>
      </c>
      <c r="BG2" s="85" t="s">
        <v>849</v>
      </c>
      <c r="BH2" s="87" t="s">
        <v>850</v>
      </c>
      <c r="BI2" s="87" t="s">
        <v>851</v>
      </c>
      <c r="BJ2" s="89" t="s">
        <v>852</v>
      </c>
      <c r="BK2" s="73" t="s">
        <v>853</v>
      </c>
      <c r="BL2" s="25" t="s">
        <v>854</v>
      </c>
      <c r="BM2" s="106" t="s">
        <v>855</v>
      </c>
      <c r="BN2" s="27" t="s">
        <v>856</v>
      </c>
    </row>
    <row r="3" spans="1:66" ht="16.5" customHeight="1" thickBot="1" x14ac:dyDescent="0.4">
      <c r="B3" s="191" t="s">
        <v>8</v>
      </c>
      <c r="C3" s="12"/>
      <c r="D3" s="159" t="s">
        <v>9</v>
      </c>
      <c r="E3" s="148"/>
      <c r="F3" s="149"/>
      <c r="G3" s="40">
        <f t="shared" ref="G3:AP3" si="0">COUNTIF(G11:G58,"✅")</f>
        <v>5</v>
      </c>
      <c r="H3" s="41">
        <f t="shared" si="0"/>
        <v>2</v>
      </c>
      <c r="I3" s="93">
        <f t="shared" si="0"/>
        <v>2</v>
      </c>
      <c r="J3" s="53">
        <f t="shared" si="0"/>
        <v>0</v>
      </c>
      <c r="K3" s="94">
        <f t="shared" si="0"/>
        <v>5</v>
      </c>
      <c r="L3" s="102">
        <f t="shared" si="0"/>
        <v>3</v>
      </c>
      <c r="M3" s="99">
        <f t="shared" si="0"/>
        <v>4</v>
      </c>
      <c r="N3" s="57">
        <f t="shared" si="0"/>
        <v>2</v>
      </c>
      <c r="O3" s="60">
        <f t="shared" si="0"/>
        <v>5</v>
      </c>
      <c r="P3" s="61">
        <f t="shared" si="0"/>
        <v>2</v>
      </c>
      <c r="Q3" s="107">
        <f t="shared" si="0"/>
        <v>4</v>
      </c>
      <c r="R3" s="67">
        <f t="shared" si="0"/>
        <v>3</v>
      </c>
      <c r="S3" s="70">
        <f t="shared" si="0"/>
        <v>5</v>
      </c>
      <c r="T3" s="110">
        <f t="shared" si="0"/>
        <v>3</v>
      </c>
      <c r="U3" s="112">
        <f t="shared" si="0"/>
        <v>1</v>
      </c>
      <c r="V3" s="72">
        <f t="shared" si="0"/>
        <v>0</v>
      </c>
      <c r="W3" s="43">
        <f t="shared" si="0"/>
        <v>0</v>
      </c>
      <c r="X3" s="29">
        <f t="shared" si="0"/>
        <v>0</v>
      </c>
      <c r="Y3" s="29">
        <f t="shared" si="0"/>
        <v>0</v>
      </c>
      <c r="Z3" s="29">
        <f t="shared" si="0"/>
        <v>0</v>
      </c>
      <c r="AA3" s="43">
        <f t="shared" si="0"/>
        <v>0</v>
      </c>
      <c r="AB3" s="29">
        <f t="shared" si="0"/>
        <v>0</v>
      </c>
      <c r="AC3" s="29">
        <f t="shared" si="0"/>
        <v>0</v>
      </c>
      <c r="AD3" s="29">
        <f t="shared" si="0"/>
        <v>0</v>
      </c>
      <c r="AE3" s="43">
        <f t="shared" si="0"/>
        <v>0</v>
      </c>
      <c r="AF3" s="29">
        <f t="shared" si="0"/>
        <v>0</v>
      </c>
      <c r="AG3" s="29">
        <f t="shared" si="0"/>
        <v>0</v>
      </c>
      <c r="AH3" s="29">
        <f t="shared" si="0"/>
        <v>0</v>
      </c>
      <c r="AI3" s="43">
        <f t="shared" si="0"/>
        <v>0</v>
      </c>
      <c r="AJ3" s="29">
        <f t="shared" si="0"/>
        <v>0</v>
      </c>
      <c r="AK3" s="29">
        <f t="shared" si="0"/>
        <v>0</v>
      </c>
      <c r="AL3" s="44">
        <f t="shared" si="0"/>
        <v>0</v>
      </c>
      <c r="AM3" s="43">
        <f t="shared" si="0"/>
        <v>0</v>
      </c>
      <c r="AN3" s="29">
        <f t="shared" si="0"/>
        <v>0</v>
      </c>
      <c r="AO3" s="29">
        <f t="shared" si="0"/>
        <v>0</v>
      </c>
      <c r="AP3" s="44">
        <f t="shared" si="0"/>
        <v>0</v>
      </c>
      <c r="AQ3" s="43">
        <f t="shared" ref="AQ3:BF3" si="1">COUNTIF(AQ11:AQ58,"✅")</f>
        <v>0</v>
      </c>
      <c r="AR3" s="29">
        <f t="shared" si="1"/>
        <v>0</v>
      </c>
      <c r="AS3" s="29">
        <f t="shared" si="1"/>
        <v>0</v>
      </c>
      <c r="AT3" s="44">
        <f t="shared" si="1"/>
        <v>0</v>
      </c>
      <c r="AU3" s="43">
        <f t="shared" si="1"/>
        <v>0</v>
      </c>
      <c r="AV3" s="29">
        <f t="shared" si="1"/>
        <v>0</v>
      </c>
      <c r="AW3" s="29">
        <f t="shared" si="1"/>
        <v>0</v>
      </c>
      <c r="AX3" s="29">
        <f t="shared" si="1"/>
        <v>0</v>
      </c>
      <c r="AY3" s="43">
        <f t="shared" si="1"/>
        <v>0</v>
      </c>
      <c r="AZ3" s="29">
        <f t="shared" si="1"/>
        <v>0</v>
      </c>
      <c r="BA3" s="29">
        <f t="shared" si="1"/>
        <v>0</v>
      </c>
      <c r="BB3" s="44">
        <f t="shared" si="1"/>
        <v>0</v>
      </c>
      <c r="BC3" s="43">
        <f t="shared" si="1"/>
        <v>0</v>
      </c>
      <c r="BD3" s="29">
        <f t="shared" si="1"/>
        <v>0</v>
      </c>
      <c r="BE3" s="29">
        <f t="shared" si="1"/>
        <v>0</v>
      </c>
      <c r="BF3" s="44">
        <f t="shared" si="1"/>
        <v>0</v>
      </c>
      <c r="BG3" s="43">
        <f t="shared" ref="BG3:BN3" si="2">COUNTIF(BG11:BG58,"✅")</f>
        <v>0</v>
      </c>
      <c r="BH3" s="29">
        <f t="shared" si="2"/>
        <v>0</v>
      </c>
      <c r="BI3" s="29">
        <f t="shared" si="2"/>
        <v>0</v>
      </c>
      <c r="BJ3" s="44">
        <f t="shared" si="2"/>
        <v>0</v>
      </c>
      <c r="BK3" s="43">
        <f t="shared" si="2"/>
        <v>0</v>
      </c>
      <c r="BL3" s="29">
        <f t="shared" si="2"/>
        <v>0</v>
      </c>
      <c r="BM3" s="29">
        <f t="shared" si="2"/>
        <v>0</v>
      </c>
      <c r="BN3" s="29">
        <f t="shared" si="2"/>
        <v>0</v>
      </c>
    </row>
    <row r="4" spans="1:66" ht="16.5" customHeight="1" x14ac:dyDescent="0.35">
      <c r="B4" s="148"/>
      <c r="C4" s="13"/>
      <c r="D4" s="159" t="s">
        <v>10</v>
      </c>
      <c r="E4" s="148"/>
      <c r="F4" s="149"/>
      <c r="G4" s="40">
        <f t="shared" ref="G4:AP4" si="3">COUNTIF(G11:G58,"✅")+COUNTIF(G11:G58,"✔️")</f>
        <v>5</v>
      </c>
      <c r="H4" s="41">
        <f t="shared" si="3"/>
        <v>7</v>
      </c>
      <c r="I4" s="93">
        <f t="shared" si="3"/>
        <v>9</v>
      </c>
      <c r="J4" s="53">
        <f t="shared" si="3"/>
        <v>4</v>
      </c>
      <c r="K4" s="95">
        <f t="shared" si="3"/>
        <v>7</v>
      </c>
      <c r="L4" s="102">
        <f t="shared" si="3"/>
        <v>9</v>
      </c>
      <c r="M4" s="99">
        <f t="shared" si="3"/>
        <v>11</v>
      </c>
      <c r="N4" s="57">
        <f t="shared" si="3"/>
        <v>7</v>
      </c>
      <c r="O4" s="60">
        <f t="shared" si="3"/>
        <v>13</v>
      </c>
      <c r="P4" s="61">
        <f t="shared" si="3"/>
        <v>10</v>
      </c>
      <c r="Q4" s="107">
        <f t="shared" si="3"/>
        <v>12</v>
      </c>
      <c r="R4" s="67">
        <f t="shared" si="3"/>
        <v>11</v>
      </c>
      <c r="S4" s="70">
        <f t="shared" si="3"/>
        <v>15</v>
      </c>
      <c r="T4" s="110">
        <f t="shared" si="3"/>
        <v>11</v>
      </c>
      <c r="U4" s="112">
        <f t="shared" si="3"/>
        <v>13</v>
      </c>
      <c r="V4" s="72">
        <f t="shared" si="3"/>
        <v>7</v>
      </c>
      <c r="W4" s="40">
        <f t="shared" si="3"/>
        <v>14</v>
      </c>
      <c r="X4" s="41">
        <f t="shared" si="3"/>
        <v>19</v>
      </c>
      <c r="Y4" s="93">
        <f t="shared" si="3"/>
        <v>13</v>
      </c>
      <c r="Z4" s="53">
        <f t="shared" si="3"/>
        <v>9</v>
      </c>
      <c r="AA4" s="94">
        <f t="shared" si="3"/>
        <v>15</v>
      </c>
      <c r="AB4" s="102">
        <f t="shared" si="3"/>
        <v>16</v>
      </c>
      <c r="AC4" s="99">
        <f t="shared" si="3"/>
        <v>10</v>
      </c>
      <c r="AD4" s="53">
        <f t="shared" si="3"/>
        <v>7</v>
      </c>
      <c r="AE4" s="74">
        <f t="shared" si="3"/>
        <v>12</v>
      </c>
      <c r="AF4" s="75">
        <f t="shared" si="3"/>
        <v>9</v>
      </c>
      <c r="AG4" s="107">
        <f t="shared" si="3"/>
        <v>11</v>
      </c>
      <c r="AH4" s="77">
        <f t="shared" si="3"/>
        <v>10</v>
      </c>
      <c r="AI4" s="80">
        <f t="shared" si="3"/>
        <v>14</v>
      </c>
      <c r="AJ4" s="30">
        <f t="shared" si="3"/>
        <v>11</v>
      </c>
      <c r="AK4" s="30">
        <f t="shared" si="3"/>
        <v>13</v>
      </c>
      <c r="AL4" s="81">
        <f t="shared" si="3"/>
        <v>7</v>
      </c>
      <c r="AM4" s="80">
        <f t="shared" si="3"/>
        <v>14</v>
      </c>
      <c r="AN4" s="30">
        <f t="shared" si="3"/>
        <v>19</v>
      </c>
      <c r="AO4" s="30">
        <f t="shared" si="3"/>
        <v>13</v>
      </c>
      <c r="AP4" s="81">
        <f t="shared" si="3"/>
        <v>9</v>
      </c>
      <c r="AQ4" s="80">
        <f t="shared" ref="AQ4:BF4" si="4">COUNTIF(AQ11:AQ58,"✅")+COUNTIF(AQ11:AQ58,"✔️")</f>
        <v>15</v>
      </c>
      <c r="AR4" s="30">
        <f t="shared" si="4"/>
        <v>16</v>
      </c>
      <c r="AS4" s="30">
        <f t="shared" si="4"/>
        <v>10</v>
      </c>
      <c r="AT4" s="81">
        <f t="shared" si="4"/>
        <v>7</v>
      </c>
      <c r="AU4" s="74">
        <f t="shared" si="4"/>
        <v>12</v>
      </c>
      <c r="AV4" s="75">
        <f t="shared" si="4"/>
        <v>9</v>
      </c>
      <c r="AW4" s="107">
        <f t="shared" si="4"/>
        <v>11</v>
      </c>
      <c r="AX4" s="77">
        <f t="shared" si="4"/>
        <v>10</v>
      </c>
      <c r="AY4" s="80">
        <f t="shared" si="4"/>
        <v>14</v>
      </c>
      <c r="AZ4" s="30">
        <f t="shared" si="4"/>
        <v>11</v>
      </c>
      <c r="BA4" s="30">
        <f t="shared" si="4"/>
        <v>13</v>
      </c>
      <c r="BB4" s="81">
        <f t="shared" si="4"/>
        <v>7</v>
      </c>
      <c r="BC4" s="80">
        <f t="shared" si="4"/>
        <v>14</v>
      </c>
      <c r="BD4" s="30">
        <f t="shared" si="4"/>
        <v>19</v>
      </c>
      <c r="BE4" s="30">
        <f t="shared" si="4"/>
        <v>13</v>
      </c>
      <c r="BF4" s="81">
        <f t="shared" si="4"/>
        <v>9</v>
      </c>
      <c r="BG4" s="80">
        <f t="shared" ref="BG4:BN4" si="5">COUNTIF(BG11:BG58,"✅")+COUNTIF(BG11:BG58,"✔️")</f>
        <v>15</v>
      </c>
      <c r="BH4" s="30">
        <f t="shared" si="5"/>
        <v>16</v>
      </c>
      <c r="BI4" s="30">
        <f t="shared" si="5"/>
        <v>10</v>
      </c>
      <c r="BJ4" s="81">
        <f t="shared" si="5"/>
        <v>7</v>
      </c>
      <c r="BK4" s="74">
        <f t="shared" si="5"/>
        <v>12</v>
      </c>
      <c r="BL4" s="75">
        <f t="shared" si="5"/>
        <v>9</v>
      </c>
      <c r="BM4" s="107">
        <f t="shared" si="5"/>
        <v>11</v>
      </c>
      <c r="BN4" s="77">
        <f t="shared" si="5"/>
        <v>10</v>
      </c>
    </row>
    <row r="5" spans="1:66" ht="4.5" customHeight="1" x14ac:dyDescent="0.35">
      <c r="B5" s="4"/>
      <c r="C5" s="5"/>
      <c r="D5" s="5"/>
      <c r="E5" s="3"/>
      <c r="F5" s="3"/>
      <c r="G5" s="42"/>
      <c r="H5" s="34"/>
      <c r="I5" s="34"/>
      <c r="J5" s="34"/>
      <c r="K5" s="42"/>
      <c r="L5" s="34"/>
      <c r="M5" s="34"/>
      <c r="N5" s="34"/>
      <c r="O5" s="42"/>
      <c r="P5" s="34"/>
      <c r="Q5" s="34"/>
      <c r="R5" s="34"/>
      <c r="S5" s="42"/>
      <c r="T5" s="34"/>
      <c r="U5" s="34"/>
      <c r="V5" s="34"/>
      <c r="W5" s="42"/>
      <c r="X5" s="34"/>
      <c r="Y5" s="34"/>
      <c r="Z5" s="34"/>
      <c r="AA5" s="42"/>
      <c r="AB5" s="34"/>
      <c r="AC5" s="34"/>
      <c r="AM5" s="51"/>
      <c r="AP5" s="52"/>
      <c r="AQ5" s="51"/>
      <c r="AT5" s="52"/>
      <c r="BC5" s="51"/>
      <c r="BF5" s="52"/>
      <c r="BG5" s="51"/>
      <c r="BJ5" s="52"/>
    </row>
    <row r="6" spans="1:66" ht="16.5" customHeight="1" x14ac:dyDescent="0.35">
      <c r="B6" s="150" t="s">
        <v>11</v>
      </c>
      <c r="C6" s="14"/>
      <c r="D6" s="178" t="s">
        <v>9</v>
      </c>
      <c r="E6" s="148"/>
      <c r="F6" s="149"/>
      <c r="G6" s="43">
        <v>0</v>
      </c>
      <c r="H6" s="29">
        <v>0</v>
      </c>
      <c r="I6" s="29">
        <v>0</v>
      </c>
      <c r="J6" s="29">
        <v>0</v>
      </c>
      <c r="K6" s="43">
        <v>0</v>
      </c>
      <c r="L6" s="29"/>
      <c r="M6" s="29">
        <v>0</v>
      </c>
      <c r="N6" s="29">
        <v>0</v>
      </c>
      <c r="O6" s="43">
        <v>0</v>
      </c>
      <c r="P6" s="29">
        <v>0</v>
      </c>
      <c r="Q6" s="29">
        <v>0</v>
      </c>
      <c r="R6" s="29">
        <v>0</v>
      </c>
      <c r="S6" s="43">
        <v>0</v>
      </c>
      <c r="T6" s="29">
        <v>0</v>
      </c>
      <c r="U6" s="29">
        <v>0</v>
      </c>
      <c r="V6" s="29">
        <v>0</v>
      </c>
      <c r="W6" s="40">
        <f t="shared" ref="W6:AL6" si="6">COUNTIF(W60:W116,"✅")</f>
        <v>7</v>
      </c>
      <c r="X6" s="41">
        <f t="shared" si="6"/>
        <v>3</v>
      </c>
      <c r="Y6" s="93">
        <f t="shared" si="6"/>
        <v>4</v>
      </c>
      <c r="Z6" s="53">
        <f t="shared" si="6"/>
        <v>2</v>
      </c>
      <c r="AA6" s="95">
        <f t="shared" si="6"/>
        <v>6</v>
      </c>
      <c r="AB6" s="102">
        <f t="shared" si="6"/>
        <v>3</v>
      </c>
      <c r="AC6" s="99">
        <f t="shared" si="6"/>
        <v>4</v>
      </c>
      <c r="AD6" s="53">
        <f t="shared" si="6"/>
        <v>3</v>
      </c>
      <c r="AE6" s="74">
        <f t="shared" si="6"/>
        <v>5</v>
      </c>
      <c r="AF6" s="75">
        <f t="shared" si="6"/>
        <v>3</v>
      </c>
      <c r="AG6" s="107">
        <f t="shared" si="6"/>
        <v>4</v>
      </c>
      <c r="AH6" s="77">
        <f t="shared" si="6"/>
        <v>3</v>
      </c>
      <c r="AI6" s="80">
        <f t="shared" si="6"/>
        <v>4</v>
      </c>
      <c r="AJ6" s="30">
        <f t="shared" si="6"/>
        <v>3</v>
      </c>
      <c r="AK6" s="30">
        <f t="shared" si="6"/>
        <v>1</v>
      </c>
      <c r="AL6" s="81">
        <f t="shared" si="6"/>
        <v>0</v>
      </c>
      <c r="AM6" s="86">
        <f>COUNTIF(AM60:AM124,"✅")</f>
        <v>8</v>
      </c>
      <c r="AN6" s="88">
        <f>COUNTIF(AN60:AN116,"✅")</f>
        <v>0</v>
      </c>
      <c r="AO6" s="88">
        <f>COUNTIF(AO60:AO116,"✅")</f>
        <v>0</v>
      </c>
      <c r="AP6" s="90">
        <f>COUNTIF(AP60:AP116,"✅")</f>
        <v>0</v>
      </c>
      <c r="AQ6" s="86">
        <f>COUNTIF(AQ60:AQ120,"✅")</f>
        <v>0</v>
      </c>
      <c r="AR6" s="88">
        <f>COUNTIF(AR60:AR116,"✅")</f>
        <v>0</v>
      </c>
      <c r="AS6" s="88">
        <f>COUNTIF(AS60:AS116,"✅")</f>
        <v>0</v>
      </c>
      <c r="AT6" s="90">
        <f>COUNTIF(AT60:AT116,"✅")</f>
        <v>0</v>
      </c>
      <c r="AU6" s="74">
        <f t="shared" ref="AU6:BB6" si="7">COUNTIF(AU60:AU116,"✅")</f>
        <v>0</v>
      </c>
      <c r="AV6" s="75">
        <f t="shared" si="7"/>
        <v>0</v>
      </c>
      <c r="AW6" s="107">
        <f t="shared" si="7"/>
        <v>0</v>
      </c>
      <c r="AX6" s="77">
        <f t="shared" si="7"/>
        <v>0</v>
      </c>
      <c r="AY6" s="80">
        <f t="shared" si="7"/>
        <v>0</v>
      </c>
      <c r="AZ6" s="30">
        <f t="shared" si="7"/>
        <v>0</v>
      </c>
      <c r="BA6" s="30">
        <f t="shared" si="7"/>
        <v>0</v>
      </c>
      <c r="BB6" s="81">
        <f t="shared" si="7"/>
        <v>0</v>
      </c>
      <c r="BC6" s="86">
        <f>COUNTIF(BC60:BC120,"✅")</f>
        <v>0</v>
      </c>
      <c r="BD6" s="88">
        <f>COUNTIF(BD60:BD116,"✅")</f>
        <v>0</v>
      </c>
      <c r="BE6" s="88">
        <f>COUNTIF(BE60:BE116,"✅")</f>
        <v>0</v>
      </c>
      <c r="BF6" s="90">
        <f>COUNTIF(BF60:BF116,"✅")</f>
        <v>0</v>
      </c>
      <c r="BG6" s="86">
        <f>COUNTIF(BG60:BG120,"✅")</f>
        <v>0</v>
      </c>
      <c r="BH6" s="88">
        <f>COUNTIF(BH60:BH116,"✅")</f>
        <v>0</v>
      </c>
      <c r="BI6" s="88">
        <f>COUNTIF(BI60:BI116,"✅")</f>
        <v>0</v>
      </c>
      <c r="BJ6" s="90">
        <f>COUNTIF(BJ60:BJ116,"✅")</f>
        <v>0</v>
      </c>
      <c r="BK6" s="74">
        <f t="shared" ref="BK6:BN6" si="8">COUNTIF(BK60:BK116,"✅")</f>
        <v>0</v>
      </c>
      <c r="BL6" s="75">
        <f t="shared" si="8"/>
        <v>0</v>
      </c>
      <c r="BM6" s="107">
        <f t="shared" si="8"/>
        <v>0</v>
      </c>
      <c r="BN6" s="77">
        <f t="shared" si="8"/>
        <v>0</v>
      </c>
    </row>
    <row r="7" spans="1:66" ht="16.5" customHeight="1" x14ac:dyDescent="0.35">
      <c r="B7" s="148"/>
      <c r="C7" s="15"/>
      <c r="D7" s="178" t="s">
        <v>10</v>
      </c>
      <c r="E7" s="148"/>
      <c r="F7" s="149"/>
      <c r="G7" s="43">
        <v>0</v>
      </c>
      <c r="H7" s="29">
        <v>0</v>
      </c>
      <c r="I7" s="29">
        <v>0</v>
      </c>
      <c r="J7" s="29">
        <v>0</v>
      </c>
      <c r="K7" s="43">
        <v>0</v>
      </c>
      <c r="L7" s="29"/>
      <c r="M7" s="29">
        <v>0</v>
      </c>
      <c r="N7" s="29">
        <v>0</v>
      </c>
      <c r="O7" s="43">
        <v>0</v>
      </c>
      <c r="P7" s="29">
        <v>0</v>
      </c>
      <c r="Q7" s="29">
        <v>0</v>
      </c>
      <c r="R7" s="29">
        <v>0</v>
      </c>
      <c r="S7" s="43">
        <v>0</v>
      </c>
      <c r="T7" s="29">
        <v>0</v>
      </c>
      <c r="U7" s="29">
        <v>0</v>
      </c>
      <c r="V7" s="29">
        <v>0</v>
      </c>
      <c r="W7" s="40">
        <f t="shared" ref="W7:BJ7" si="9">COUNTIF(W60:W116,"✅")+COUNTIF(W60:W116,"✔️")</f>
        <v>7</v>
      </c>
      <c r="X7" s="41">
        <f t="shared" si="9"/>
        <v>10</v>
      </c>
      <c r="Y7" s="93">
        <f t="shared" si="9"/>
        <v>8</v>
      </c>
      <c r="Z7" s="53">
        <f t="shared" si="9"/>
        <v>6</v>
      </c>
      <c r="AA7" s="95">
        <f t="shared" si="9"/>
        <v>15</v>
      </c>
      <c r="AB7" s="102">
        <f t="shared" si="9"/>
        <v>19</v>
      </c>
      <c r="AC7" s="99">
        <f t="shared" si="9"/>
        <v>12</v>
      </c>
      <c r="AD7" s="53">
        <f t="shared" si="9"/>
        <v>11</v>
      </c>
      <c r="AE7" s="74">
        <f t="shared" si="9"/>
        <v>15</v>
      </c>
      <c r="AF7" s="75">
        <f t="shared" si="9"/>
        <v>20</v>
      </c>
      <c r="AG7" s="107">
        <f t="shared" si="9"/>
        <v>14</v>
      </c>
      <c r="AH7" s="77">
        <f t="shared" si="9"/>
        <v>16</v>
      </c>
      <c r="AI7" s="80">
        <f t="shared" si="9"/>
        <v>16</v>
      </c>
      <c r="AJ7" s="30">
        <f t="shared" si="9"/>
        <v>21</v>
      </c>
      <c r="AK7" s="30">
        <f t="shared" si="9"/>
        <v>13</v>
      </c>
      <c r="AL7" s="81">
        <f t="shared" si="9"/>
        <v>12</v>
      </c>
      <c r="AM7" s="86">
        <f t="shared" si="9"/>
        <v>16</v>
      </c>
      <c r="AN7" s="88">
        <f t="shared" si="9"/>
        <v>19</v>
      </c>
      <c r="AO7" s="88">
        <f t="shared" si="9"/>
        <v>14</v>
      </c>
      <c r="AP7" s="90">
        <f t="shared" si="9"/>
        <v>14</v>
      </c>
      <c r="AQ7" s="86">
        <f t="shared" si="9"/>
        <v>15</v>
      </c>
      <c r="AR7" s="88">
        <f t="shared" si="9"/>
        <v>18</v>
      </c>
      <c r="AS7" s="88">
        <f t="shared" si="9"/>
        <v>11</v>
      </c>
      <c r="AT7" s="90">
        <f t="shared" si="9"/>
        <v>10</v>
      </c>
      <c r="AU7" s="74">
        <f t="shared" si="9"/>
        <v>12</v>
      </c>
      <c r="AV7" s="75">
        <f t="shared" si="9"/>
        <v>17</v>
      </c>
      <c r="AW7" s="107">
        <f t="shared" si="9"/>
        <v>10</v>
      </c>
      <c r="AX7" s="77">
        <f t="shared" si="9"/>
        <v>12</v>
      </c>
      <c r="AY7" s="80">
        <f t="shared" si="9"/>
        <v>13</v>
      </c>
      <c r="AZ7" s="30">
        <f t="shared" si="9"/>
        <v>17</v>
      </c>
      <c r="BA7" s="30">
        <f t="shared" si="9"/>
        <v>7</v>
      </c>
      <c r="BB7" s="81">
        <f t="shared" si="9"/>
        <v>6</v>
      </c>
      <c r="BC7" s="86">
        <f t="shared" si="9"/>
        <v>16</v>
      </c>
      <c r="BD7" s="88">
        <f t="shared" si="9"/>
        <v>19</v>
      </c>
      <c r="BE7" s="88">
        <f t="shared" si="9"/>
        <v>14</v>
      </c>
      <c r="BF7" s="90">
        <f t="shared" si="9"/>
        <v>14</v>
      </c>
      <c r="BG7" s="86">
        <f t="shared" si="9"/>
        <v>15</v>
      </c>
      <c r="BH7" s="88">
        <f t="shared" si="9"/>
        <v>18</v>
      </c>
      <c r="BI7" s="88">
        <f t="shared" si="9"/>
        <v>11</v>
      </c>
      <c r="BJ7" s="90">
        <f t="shared" si="9"/>
        <v>10</v>
      </c>
      <c r="BK7" s="74">
        <f t="shared" ref="BK7:BN7" si="10">COUNTIF(BK60:BK116,"✅")+COUNTIF(BK60:BK116,"✔️")</f>
        <v>12</v>
      </c>
      <c r="BL7" s="75">
        <f t="shared" si="10"/>
        <v>17</v>
      </c>
      <c r="BM7" s="107">
        <f t="shared" si="10"/>
        <v>10</v>
      </c>
      <c r="BN7" s="77">
        <f t="shared" si="10"/>
        <v>12</v>
      </c>
    </row>
    <row r="8" spans="1:66" x14ac:dyDescent="0.35">
      <c r="D8" s="147" t="s">
        <v>12</v>
      </c>
      <c r="E8" s="148"/>
      <c r="F8" s="149"/>
      <c r="G8" s="179">
        <f>SUM(G3:J3)</f>
        <v>9</v>
      </c>
      <c r="H8" s="180"/>
      <c r="I8" s="181"/>
      <c r="J8" s="182"/>
      <c r="K8" s="165">
        <f>SUM(K3:N3)</f>
        <v>14</v>
      </c>
      <c r="L8" s="166"/>
      <c r="M8" s="167"/>
      <c r="N8" s="168"/>
      <c r="O8" s="143">
        <f>SUM(O3:R3)</f>
        <v>14</v>
      </c>
      <c r="P8" s="144"/>
      <c r="Q8" s="145"/>
      <c r="R8" s="146"/>
      <c r="S8" s="155">
        <f>SUM(S3:V3)</f>
        <v>9</v>
      </c>
      <c r="T8" s="156"/>
      <c r="U8" s="157"/>
      <c r="V8" s="158"/>
      <c r="W8" s="151">
        <f>SUM(W6:Z6)</f>
        <v>16</v>
      </c>
      <c r="X8" s="152"/>
      <c r="Y8" s="153"/>
      <c r="Z8" s="154"/>
      <c r="AA8" s="195">
        <f>SUM(AA6:AD6)</f>
        <v>16</v>
      </c>
      <c r="AB8" s="196"/>
      <c r="AC8" s="197"/>
      <c r="AD8" s="198"/>
      <c r="AE8" s="123">
        <f>SUM(AE6:AH6)</f>
        <v>15</v>
      </c>
      <c r="AF8" s="124"/>
      <c r="AG8" s="125"/>
      <c r="AH8" s="126"/>
      <c r="AI8" s="200">
        <f>SUM(AI6:AL6)</f>
        <v>8</v>
      </c>
      <c r="AJ8" s="201"/>
      <c r="AK8" s="202"/>
      <c r="AL8" s="203"/>
      <c r="AM8" s="161">
        <f>SUM(AM6:AP6)</f>
        <v>8</v>
      </c>
      <c r="AN8" s="162"/>
      <c r="AO8" s="163"/>
      <c r="AP8" s="164"/>
      <c r="AQ8" s="161">
        <f>SUM(AQ6:AT6)</f>
        <v>0</v>
      </c>
      <c r="AR8" s="162"/>
      <c r="AS8" s="163"/>
      <c r="AT8" s="164"/>
      <c r="AU8" s="123">
        <f>SUM(AU6:AX6)</f>
        <v>0</v>
      </c>
      <c r="AV8" s="124"/>
      <c r="AW8" s="125"/>
      <c r="AX8" s="126"/>
      <c r="AY8" s="200">
        <f>SUM(AY6:BB6)</f>
        <v>0</v>
      </c>
      <c r="AZ8" s="201"/>
      <c r="BA8" s="202"/>
      <c r="BB8" s="203"/>
      <c r="BC8" s="161">
        <f>SUM(BC6:BF6)</f>
        <v>0</v>
      </c>
      <c r="BD8" s="162"/>
      <c r="BE8" s="163"/>
      <c r="BF8" s="164"/>
      <c r="BG8" s="161">
        <f>SUM(BG6:BJ6)</f>
        <v>0</v>
      </c>
      <c r="BH8" s="162"/>
      <c r="BI8" s="163"/>
      <c r="BJ8" s="164"/>
      <c r="BK8" s="123">
        <f>SUM(BK6:BN6)</f>
        <v>0</v>
      </c>
      <c r="BL8" s="124"/>
      <c r="BM8" s="125"/>
      <c r="BN8" s="126"/>
    </row>
    <row r="9" spans="1:66" ht="16.5" customHeight="1" x14ac:dyDescent="0.35">
      <c r="D9" s="171" t="s">
        <v>13</v>
      </c>
      <c r="E9" s="148"/>
      <c r="F9" s="148"/>
      <c r="G9" s="169">
        <f>SUM(G8:V8)</f>
        <v>46</v>
      </c>
      <c r="H9" s="169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35">
        <f>SUM(W8:AL8)</f>
        <v>55</v>
      </c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86"/>
      <c r="AM9" s="135">
        <f>SUM(AM8:BB8)</f>
        <v>8</v>
      </c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17"/>
      <c r="BL9" s="117"/>
      <c r="BM9" s="117"/>
      <c r="BN9" s="117"/>
    </row>
    <row r="10" spans="1:66" ht="16.5" customHeight="1" x14ac:dyDescent="0.35">
      <c r="D10" s="171" t="s">
        <v>14</v>
      </c>
      <c r="E10" s="148"/>
      <c r="F10" s="148"/>
      <c r="G10" s="137">
        <f>SUM(G8:BJ8)</f>
        <v>109</v>
      </c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18"/>
      <c r="BL10" s="118"/>
      <c r="BM10" s="118"/>
      <c r="BN10" s="118"/>
    </row>
    <row r="11" spans="1:66" ht="15" thickBot="1" x14ac:dyDescent="0.4">
      <c r="A11" s="6"/>
      <c r="B11" s="7" t="s">
        <v>15</v>
      </c>
      <c r="C11" s="16" t="s">
        <v>16</v>
      </c>
      <c r="D11" s="7" t="s">
        <v>17</v>
      </c>
      <c r="E11" s="7" t="s">
        <v>18</v>
      </c>
      <c r="F11" s="7" t="s">
        <v>19</v>
      </c>
      <c r="G11" s="45"/>
      <c r="H11" s="35"/>
      <c r="I11" s="35"/>
      <c r="J11" s="35"/>
      <c r="K11" s="45"/>
      <c r="L11" s="35"/>
      <c r="M11" s="35"/>
      <c r="N11" s="35"/>
      <c r="O11" s="45"/>
      <c r="P11" s="35"/>
      <c r="Q11" s="35"/>
      <c r="R11" s="35"/>
      <c r="S11" s="45"/>
      <c r="T11" s="35"/>
      <c r="U11" s="35"/>
      <c r="V11" s="35"/>
      <c r="W11" s="45"/>
      <c r="X11" s="35"/>
      <c r="Y11" s="35"/>
      <c r="Z11" s="35"/>
      <c r="AA11" s="45"/>
      <c r="AB11" s="35"/>
      <c r="AC11" s="35"/>
      <c r="AD11" s="35"/>
      <c r="AP11" s="31"/>
      <c r="AQ11" s="51"/>
      <c r="BF11" s="31"/>
      <c r="BG11" s="51"/>
    </row>
    <row r="12" spans="1:66" ht="16.5" customHeight="1" x14ac:dyDescent="0.35">
      <c r="A12" s="96" t="s">
        <v>0</v>
      </c>
      <c r="B12" s="2" t="s">
        <v>793</v>
      </c>
      <c r="C12" s="28">
        <v>2</v>
      </c>
      <c r="D12" s="5">
        <f t="shared" ref="D12:D57" si="11">COUNTIF(G12:AAN12,"✅")+COUNTIF(G12:AAN12,"✔️")</f>
        <v>3</v>
      </c>
      <c r="E12" s="2" t="s">
        <v>799</v>
      </c>
      <c r="F12" s="2" t="s">
        <v>800</v>
      </c>
      <c r="G12" s="104" t="s">
        <v>23</v>
      </c>
      <c r="H12" s="116" t="s">
        <v>24</v>
      </c>
      <c r="I12" s="116" t="s">
        <v>24</v>
      </c>
      <c r="AI12" s="62"/>
      <c r="AJ12" s="31"/>
      <c r="AK12" s="31"/>
      <c r="AL12" s="31"/>
      <c r="AM12" s="62"/>
      <c r="AN12" s="31"/>
      <c r="AO12" s="31"/>
      <c r="AP12" s="31"/>
      <c r="AQ12" s="62"/>
      <c r="AR12" s="31"/>
      <c r="AS12" s="31"/>
      <c r="AT12" s="31"/>
      <c r="AY12" s="62"/>
      <c r="AZ12" s="31"/>
      <c r="BA12" s="31"/>
      <c r="BB12" s="31"/>
      <c r="BC12" s="62"/>
      <c r="BD12" s="31"/>
      <c r="BE12" s="31"/>
      <c r="BF12" s="31"/>
      <c r="BG12" s="62"/>
      <c r="BH12" s="31"/>
      <c r="BI12" s="31"/>
      <c r="BJ12" s="31"/>
    </row>
    <row r="13" spans="1:66" ht="16.5" customHeight="1" x14ac:dyDescent="0.35">
      <c r="A13" s="97"/>
      <c r="B13" t="s">
        <v>20</v>
      </c>
      <c r="C13" s="11">
        <v>2</v>
      </c>
      <c r="D13" s="1">
        <f t="shared" si="11"/>
        <v>11</v>
      </c>
      <c r="E13" t="s">
        <v>21</v>
      </c>
      <c r="F13" t="s">
        <v>22</v>
      </c>
      <c r="G13" s="46" t="s">
        <v>23</v>
      </c>
      <c r="H13" s="47" t="s">
        <v>24</v>
      </c>
      <c r="I13" s="91" t="s">
        <v>24</v>
      </c>
      <c r="K13" s="56" t="s">
        <v>24</v>
      </c>
      <c r="L13" s="103" t="s">
        <v>24</v>
      </c>
      <c r="AA13" s="95" t="s">
        <v>24</v>
      </c>
      <c r="AB13" s="102" t="s">
        <v>24</v>
      </c>
      <c r="AI13" s="62"/>
      <c r="AJ13" s="31"/>
      <c r="AK13" s="31"/>
      <c r="AL13" s="31"/>
      <c r="AM13" s="62"/>
      <c r="AN13" s="31"/>
      <c r="AO13" s="31"/>
      <c r="AP13" s="31"/>
      <c r="AQ13" s="95" t="s">
        <v>24</v>
      </c>
      <c r="AR13" s="102" t="s">
        <v>24</v>
      </c>
      <c r="AS13" s="31"/>
      <c r="AT13" s="31"/>
      <c r="AY13" s="62"/>
      <c r="AZ13" s="31"/>
      <c r="BA13" s="31"/>
      <c r="BB13" s="31"/>
      <c r="BC13" s="62"/>
      <c r="BD13" s="31"/>
      <c r="BE13" s="31"/>
      <c r="BF13" s="31"/>
      <c r="BG13" s="95" t="s">
        <v>24</v>
      </c>
      <c r="BH13" s="102" t="s">
        <v>24</v>
      </c>
      <c r="BI13" s="31"/>
      <c r="BJ13" s="31"/>
    </row>
    <row r="14" spans="1:66" ht="16.5" customHeight="1" x14ac:dyDescent="0.35">
      <c r="B14" t="s">
        <v>25</v>
      </c>
      <c r="C14" s="11">
        <v>2</v>
      </c>
      <c r="D14" s="1">
        <f t="shared" si="11"/>
        <v>13</v>
      </c>
      <c r="E14" t="s">
        <v>26</v>
      </c>
      <c r="F14" t="s">
        <v>27</v>
      </c>
      <c r="G14" s="46" t="s">
        <v>23</v>
      </c>
      <c r="H14" s="47" t="s">
        <v>24</v>
      </c>
      <c r="I14" s="91" t="s">
        <v>24</v>
      </c>
      <c r="M14" s="100" t="s">
        <v>24</v>
      </c>
      <c r="S14" s="71" t="s">
        <v>24</v>
      </c>
      <c r="X14" s="41" t="s">
        <v>24</v>
      </c>
      <c r="Y14" s="93" t="s">
        <v>24</v>
      </c>
      <c r="AI14" s="71" t="s">
        <v>24</v>
      </c>
      <c r="AJ14" s="31"/>
      <c r="AK14" s="31"/>
      <c r="AL14" s="31"/>
      <c r="AM14" s="62"/>
      <c r="AN14" s="41" t="s">
        <v>24</v>
      </c>
      <c r="AO14" s="93" t="s">
        <v>24</v>
      </c>
      <c r="AP14" s="31"/>
      <c r="AQ14" s="62"/>
      <c r="AR14" s="31"/>
      <c r="AS14" s="31"/>
      <c r="AT14" s="31"/>
      <c r="AY14" s="71" t="s">
        <v>24</v>
      </c>
      <c r="AZ14" s="31"/>
      <c r="BA14" s="31"/>
      <c r="BB14" s="31"/>
      <c r="BC14" s="62"/>
      <c r="BD14" s="41" t="s">
        <v>24</v>
      </c>
      <c r="BE14" s="93" t="s">
        <v>24</v>
      </c>
      <c r="BF14" s="31"/>
      <c r="BG14" s="62"/>
      <c r="BH14" s="31"/>
      <c r="BI14" s="31"/>
      <c r="BJ14" s="31"/>
    </row>
    <row r="15" spans="1:66" ht="16.5" customHeight="1" x14ac:dyDescent="0.35">
      <c r="B15" t="s">
        <v>28</v>
      </c>
      <c r="C15" s="11">
        <v>2</v>
      </c>
      <c r="D15" s="1">
        <f t="shared" si="11"/>
        <v>14</v>
      </c>
      <c r="E15" t="s">
        <v>29</v>
      </c>
      <c r="F15" t="s">
        <v>30</v>
      </c>
      <c r="G15" s="46" t="s">
        <v>23</v>
      </c>
      <c r="H15" s="47" t="s">
        <v>24</v>
      </c>
      <c r="I15" s="91" t="s">
        <v>24</v>
      </c>
      <c r="K15" s="56" t="s">
        <v>24</v>
      </c>
      <c r="L15" s="103" t="s">
        <v>24</v>
      </c>
      <c r="S15" s="71" t="s">
        <v>24</v>
      </c>
      <c r="AA15" s="95" t="s">
        <v>24</v>
      </c>
      <c r="AB15" s="102" t="s">
        <v>24</v>
      </c>
      <c r="AI15" s="71" t="s">
        <v>24</v>
      </c>
      <c r="AJ15" s="31"/>
      <c r="AK15" s="31"/>
      <c r="AL15" s="31"/>
      <c r="AM15" s="62"/>
      <c r="AN15" s="31"/>
      <c r="AO15" s="31"/>
      <c r="AP15" s="31"/>
      <c r="AQ15" s="95" t="s">
        <v>24</v>
      </c>
      <c r="AR15" s="102" t="s">
        <v>24</v>
      </c>
      <c r="AS15" s="31"/>
      <c r="AT15" s="31"/>
      <c r="AY15" s="71" t="s">
        <v>24</v>
      </c>
      <c r="AZ15" s="31"/>
      <c r="BA15" s="31"/>
      <c r="BB15" s="31"/>
      <c r="BC15" s="62"/>
      <c r="BD15" s="31"/>
      <c r="BE15" s="31"/>
      <c r="BF15" s="31"/>
      <c r="BG15" s="95" t="s">
        <v>24</v>
      </c>
      <c r="BH15" s="102" t="s">
        <v>24</v>
      </c>
      <c r="BI15" s="31"/>
      <c r="BJ15" s="31"/>
    </row>
    <row r="16" spans="1:66" ht="16.5" customHeight="1" x14ac:dyDescent="0.35">
      <c r="B16" t="s">
        <v>31</v>
      </c>
      <c r="C16" s="11">
        <v>4</v>
      </c>
      <c r="D16" s="1">
        <f t="shared" si="11"/>
        <v>19</v>
      </c>
      <c r="E16" t="s">
        <v>32</v>
      </c>
      <c r="F16" t="s">
        <v>33</v>
      </c>
      <c r="G16" s="46" t="s">
        <v>23</v>
      </c>
      <c r="H16" s="47" t="s">
        <v>24</v>
      </c>
      <c r="I16" s="91" t="s">
        <v>24</v>
      </c>
      <c r="O16" s="64" t="s">
        <v>24</v>
      </c>
      <c r="W16" s="40" t="s">
        <v>24</v>
      </c>
      <c r="X16" s="41" t="s">
        <v>24</v>
      </c>
      <c r="AA16" s="95" t="s">
        <v>24</v>
      </c>
      <c r="AB16" s="102" t="s">
        <v>24</v>
      </c>
      <c r="AE16" s="64" t="s">
        <v>24</v>
      </c>
      <c r="AI16" s="62"/>
      <c r="AJ16" s="31"/>
      <c r="AK16" s="31"/>
      <c r="AL16" s="31"/>
      <c r="AM16" s="40" t="s">
        <v>24</v>
      </c>
      <c r="AN16" s="41" t="s">
        <v>24</v>
      </c>
      <c r="AO16" s="31"/>
      <c r="AP16" s="31"/>
      <c r="AQ16" s="95" t="s">
        <v>24</v>
      </c>
      <c r="AR16" s="102" t="s">
        <v>24</v>
      </c>
      <c r="AS16" s="31"/>
      <c r="AT16" s="31"/>
      <c r="AU16" s="64" t="s">
        <v>24</v>
      </c>
      <c r="AY16" s="62"/>
      <c r="AZ16" s="31"/>
      <c r="BA16" s="31"/>
      <c r="BB16" s="31"/>
      <c r="BC16" s="40" t="s">
        <v>24</v>
      </c>
      <c r="BD16" s="41" t="s">
        <v>24</v>
      </c>
      <c r="BE16" s="31"/>
      <c r="BF16" s="31"/>
      <c r="BG16" s="95" t="s">
        <v>24</v>
      </c>
      <c r="BH16" s="102" t="s">
        <v>24</v>
      </c>
      <c r="BI16" s="31"/>
      <c r="BJ16" s="31"/>
      <c r="BK16" s="64" t="s">
        <v>24</v>
      </c>
    </row>
    <row r="17" spans="2:66" ht="16.5" customHeight="1" x14ac:dyDescent="0.35">
      <c r="B17" t="s">
        <v>34</v>
      </c>
      <c r="C17" s="11">
        <v>4</v>
      </c>
      <c r="D17" s="1">
        <f t="shared" si="11"/>
        <v>16</v>
      </c>
      <c r="E17" t="s">
        <v>35</v>
      </c>
      <c r="F17" t="s">
        <v>36</v>
      </c>
      <c r="H17" s="47" t="s">
        <v>23</v>
      </c>
      <c r="I17" s="91" t="s">
        <v>24</v>
      </c>
      <c r="J17" s="54" t="s">
        <v>24</v>
      </c>
      <c r="O17" s="64" t="s">
        <v>24</v>
      </c>
      <c r="S17" s="71" t="s">
        <v>24</v>
      </c>
      <c r="AA17" s="95" t="s">
        <v>24</v>
      </c>
      <c r="AB17" s="102" t="s">
        <v>24</v>
      </c>
      <c r="AE17" s="64" t="s">
        <v>24</v>
      </c>
      <c r="AI17" s="71" t="s">
        <v>24</v>
      </c>
      <c r="AJ17" s="31"/>
      <c r="AK17" s="31"/>
      <c r="AL17" s="31"/>
      <c r="AM17" s="62"/>
      <c r="AN17" s="31"/>
      <c r="AO17" s="31"/>
      <c r="AP17" s="31"/>
      <c r="AQ17" s="95" t="s">
        <v>24</v>
      </c>
      <c r="AR17" s="102" t="s">
        <v>24</v>
      </c>
      <c r="AS17" s="31"/>
      <c r="AT17" s="31"/>
      <c r="AU17" s="64" t="s">
        <v>24</v>
      </c>
      <c r="AY17" s="71" t="s">
        <v>24</v>
      </c>
      <c r="AZ17" s="31"/>
      <c r="BA17" s="31"/>
      <c r="BB17" s="31"/>
      <c r="BC17" s="62"/>
      <c r="BD17" s="31"/>
      <c r="BE17" s="31"/>
      <c r="BF17" s="31"/>
      <c r="BG17" s="95" t="s">
        <v>24</v>
      </c>
      <c r="BH17" s="102" t="s">
        <v>24</v>
      </c>
      <c r="BI17" s="31"/>
      <c r="BJ17" s="31"/>
      <c r="BK17" s="64" t="s">
        <v>24</v>
      </c>
    </row>
    <row r="18" spans="2:66" ht="16.5" customHeight="1" x14ac:dyDescent="0.35">
      <c r="B18" t="s">
        <v>43</v>
      </c>
      <c r="C18" s="11">
        <v>2</v>
      </c>
      <c r="D18" s="1">
        <f t="shared" si="11"/>
        <v>16</v>
      </c>
      <c r="E18" t="s">
        <v>44</v>
      </c>
      <c r="F18" t="s">
        <v>45</v>
      </c>
      <c r="H18" s="47" t="s">
        <v>23</v>
      </c>
      <c r="I18" s="91" t="s">
        <v>24</v>
      </c>
      <c r="J18" s="54" t="s">
        <v>24</v>
      </c>
      <c r="M18" s="100" t="s">
        <v>24</v>
      </c>
      <c r="U18" s="112" t="s">
        <v>24</v>
      </c>
      <c r="V18" s="72" t="s">
        <v>24</v>
      </c>
      <c r="AC18" s="99" t="s">
        <v>24</v>
      </c>
      <c r="AD18" s="53" t="s">
        <v>24</v>
      </c>
      <c r="AI18" s="62"/>
      <c r="AJ18" s="31"/>
      <c r="AK18" s="112" t="s">
        <v>24</v>
      </c>
      <c r="AL18" s="72" t="s">
        <v>24</v>
      </c>
      <c r="AM18" s="62"/>
      <c r="AN18" s="31"/>
      <c r="AO18" s="31"/>
      <c r="AP18" s="31"/>
      <c r="AQ18" s="62"/>
      <c r="AR18" s="31"/>
      <c r="AS18" s="99" t="s">
        <v>24</v>
      </c>
      <c r="AT18" s="53" t="s">
        <v>24</v>
      </c>
      <c r="AY18" s="62"/>
      <c r="AZ18" s="31"/>
      <c r="BA18" s="112" t="s">
        <v>24</v>
      </c>
      <c r="BB18" s="72" t="s">
        <v>24</v>
      </c>
      <c r="BC18" s="62"/>
      <c r="BD18" s="31"/>
      <c r="BE18" s="31"/>
      <c r="BF18" s="31"/>
      <c r="BG18" s="62"/>
      <c r="BH18" s="31"/>
      <c r="BI18" s="99" t="s">
        <v>24</v>
      </c>
      <c r="BJ18" s="53" t="s">
        <v>24</v>
      </c>
    </row>
    <row r="19" spans="2:66" ht="16.5" customHeight="1" x14ac:dyDescent="0.35">
      <c r="B19" t="s">
        <v>37</v>
      </c>
      <c r="C19" s="11">
        <v>3</v>
      </c>
      <c r="D19" s="1">
        <f t="shared" si="11"/>
        <v>16</v>
      </c>
      <c r="E19" t="s">
        <v>38</v>
      </c>
      <c r="F19" t="s">
        <v>39</v>
      </c>
      <c r="I19" s="91" t="s">
        <v>23</v>
      </c>
      <c r="J19" s="54" t="s">
        <v>24</v>
      </c>
      <c r="P19" s="61" t="s">
        <v>24</v>
      </c>
      <c r="Q19" s="107" t="s">
        <v>24</v>
      </c>
      <c r="AC19" s="99" t="s">
        <v>24</v>
      </c>
      <c r="AD19" s="53" t="s">
        <v>24</v>
      </c>
      <c r="AF19" s="61" t="s">
        <v>24</v>
      </c>
      <c r="AG19" s="107" t="s">
        <v>24</v>
      </c>
      <c r="AI19" s="62"/>
      <c r="AJ19" s="31"/>
      <c r="AK19" s="31"/>
      <c r="AL19" s="31"/>
      <c r="AM19" s="62"/>
      <c r="AN19" s="31"/>
      <c r="AO19" s="31"/>
      <c r="AP19" s="31"/>
      <c r="AQ19" s="62"/>
      <c r="AR19" s="31"/>
      <c r="AS19" s="99" t="s">
        <v>24</v>
      </c>
      <c r="AT19" s="53" t="s">
        <v>24</v>
      </c>
      <c r="AV19" s="61" t="s">
        <v>24</v>
      </c>
      <c r="AW19" s="107" t="s">
        <v>24</v>
      </c>
      <c r="AY19" s="62"/>
      <c r="AZ19" s="31"/>
      <c r="BA19" s="31"/>
      <c r="BB19" s="31"/>
      <c r="BC19" s="62"/>
      <c r="BD19" s="31"/>
      <c r="BE19" s="31"/>
      <c r="BF19" s="31"/>
      <c r="BG19" s="62"/>
      <c r="BH19" s="31"/>
      <c r="BI19" s="99" t="s">
        <v>24</v>
      </c>
      <c r="BJ19" s="53" t="s">
        <v>24</v>
      </c>
      <c r="BL19" s="61" t="s">
        <v>24</v>
      </c>
      <c r="BM19" s="107" t="s">
        <v>24</v>
      </c>
    </row>
    <row r="20" spans="2:66" ht="16.5" customHeight="1" x14ac:dyDescent="0.35">
      <c r="B20" t="s">
        <v>40</v>
      </c>
      <c r="C20" s="11">
        <v>2</v>
      </c>
      <c r="D20" s="1">
        <f t="shared" si="11"/>
        <v>22</v>
      </c>
      <c r="E20" t="s">
        <v>41</v>
      </c>
      <c r="F20" t="s">
        <v>42</v>
      </c>
      <c r="I20" s="91" t="s">
        <v>23</v>
      </c>
      <c r="J20" s="54" t="s">
        <v>24</v>
      </c>
      <c r="P20" s="61" t="s">
        <v>24</v>
      </c>
      <c r="Q20" s="107" t="s">
        <v>24</v>
      </c>
      <c r="U20" s="112" t="s">
        <v>24</v>
      </c>
      <c r="V20" s="72" t="s">
        <v>24</v>
      </c>
      <c r="Y20" s="93" t="s">
        <v>24</v>
      </c>
      <c r="Z20" s="54" t="s">
        <v>24</v>
      </c>
      <c r="AF20" s="61" t="s">
        <v>24</v>
      </c>
      <c r="AG20" s="107" t="s">
        <v>24</v>
      </c>
      <c r="AI20" s="62"/>
      <c r="AJ20" s="31"/>
      <c r="AK20" s="112" t="s">
        <v>24</v>
      </c>
      <c r="AL20" s="72" t="s">
        <v>24</v>
      </c>
      <c r="AM20" s="62"/>
      <c r="AN20" s="31"/>
      <c r="AO20" s="93" t="s">
        <v>24</v>
      </c>
      <c r="AP20" s="54" t="s">
        <v>24</v>
      </c>
      <c r="AQ20" s="62"/>
      <c r="AR20" s="31"/>
      <c r="AS20" s="31"/>
      <c r="AT20" s="31"/>
      <c r="AV20" s="61" t="s">
        <v>24</v>
      </c>
      <c r="AW20" s="107" t="s">
        <v>24</v>
      </c>
      <c r="AY20" s="62"/>
      <c r="AZ20" s="31"/>
      <c r="BA20" s="112" t="s">
        <v>24</v>
      </c>
      <c r="BB20" s="72" t="s">
        <v>24</v>
      </c>
      <c r="BC20" s="62"/>
      <c r="BD20" s="31"/>
      <c r="BE20" s="93" t="s">
        <v>24</v>
      </c>
      <c r="BF20" s="54" t="s">
        <v>24</v>
      </c>
      <c r="BG20" s="62"/>
      <c r="BH20" s="31"/>
      <c r="BI20" s="31"/>
      <c r="BJ20" s="31"/>
      <c r="BL20" s="61" t="s">
        <v>24</v>
      </c>
      <c r="BM20" s="107" t="s">
        <v>24</v>
      </c>
    </row>
    <row r="21" spans="2:66" ht="16.5" customHeight="1" x14ac:dyDescent="0.35">
      <c r="B21" s="2" t="s">
        <v>794</v>
      </c>
      <c r="C21" s="28">
        <v>4</v>
      </c>
      <c r="D21" s="5">
        <f t="shared" si="11"/>
        <v>1</v>
      </c>
      <c r="E21" s="2" t="s">
        <v>801</v>
      </c>
      <c r="F21" s="2" t="s">
        <v>802</v>
      </c>
      <c r="K21" s="104" t="s">
        <v>23</v>
      </c>
      <c r="AI21" s="62"/>
      <c r="AJ21" s="31"/>
      <c r="AK21" s="31"/>
      <c r="AL21" s="31"/>
      <c r="AM21" s="62"/>
      <c r="AN21" s="31"/>
      <c r="AO21" s="31"/>
      <c r="AP21" s="31"/>
      <c r="AQ21" s="62"/>
      <c r="AR21" s="31"/>
      <c r="AS21" s="31"/>
      <c r="AT21" s="31"/>
      <c r="AY21" s="62"/>
      <c r="AZ21" s="31"/>
      <c r="BA21" s="31"/>
      <c r="BB21" s="31"/>
      <c r="BC21" s="62"/>
      <c r="BD21" s="31"/>
      <c r="BE21" s="31"/>
      <c r="BF21" s="31"/>
      <c r="BG21" s="62"/>
      <c r="BH21" s="31"/>
      <c r="BI21" s="31"/>
      <c r="BJ21" s="31"/>
    </row>
    <row r="22" spans="2:66" x14ac:dyDescent="0.35">
      <c r="B22" t="s">
        <v>46</v>
      </c>
      <c r="C22" s="11">
        <v>2</v>
      </c>
      <c r="D22" s="1">
        <f t="shared" si="11"/>
        <v>22</v>
      </c>
      <c r="E22" t="s">
        <v>47</v>
      </c>
      <c r="F22" t="s">
        <v>48</v>
      </c>
      <c r="K22" s="56" t="s">
        <v>23</v>
      </c>
      <c r="L22" s="103" t="s">
        <v>24</v>
      </c>
      <c r="O22" s="64" t="s">
        <v>24</v>
      </c>
      <c r="P22" s="61" t="s">
        <v>24</v>
      </c>
      <c r="W22" s="40" t="s">
        <v>24</v>
      </c>
      <c r="X22" s="41" t="s">
        <v>24</v>
      </c>
      <c r="AA22" s="95" t="s">
        <v>24</v>
      </c>
      <c r="AB22" s="102" t="s">
        <v>24</v>
      </c>
      <c r="AE22" s="64" t="s">
        <v>24</v>
      </c>
      <c r="AF22" s="61" t="s">
        <v>24</v>
      </c>
      <c r="AI22" s="62"/>
      <c r="AJ22" s="31"/>
      <c r="AK22" s="31"/>
      <c r="AL22" s="31"/>
      <c r="AM22" s="40" t="s">
        <v>24</v>
      </c>
      <c r="AN22" s="41" t="s">
        <v>24</v>
      </c>
      <c r="AO22" s="31"/>
      <c r="AP22" s="31"/>
      <c r="AQ22" s="95" t="s">
        <v>24</v>
      </c>
      <c r="AR22" s="102" t="s">
        <v>24</v>
      </c>
      <c r="AS22" s="31"/>
      <c r="AT22" s="31"/>
      <c r="AU22" s="64" t="s">
        <v>24</v>
      </c>
      <c r="AV22" s="61" t="s">
        <v>24</v>
      </c>
      <c r="AY22" s="62"/>
      <c r="AZ22" s="31"/>
      <c r="BA22" s="31"/>
      <c r="BB22" s="31"/>
      <c r="BC22" s="40" t="s">
        <v>24</v>
      </c>
      <c r="BD22" s="41" t="s">
        <v>24</v>
      </c>
      <c r="BE22" s="31"/>
      <c r="BF22" s="31"/>
      <c r="BG22" s="95" t="s">
        <v>24</v>
      </c>
      <c r="BH22" s="102" t="s">
        <v>24</v>
      </c>
      <c r="BI22" s="31"/>
      <c r="BJ22" s="31"/>
      <c r="BK22" s="64" t="s">
        <v>24</v>
      </c>
      <c r="BL22" s="61" t="s">
        <v>24</v>
      </c>
    </row>
    <row r="23" spans="2:66" x14ac:dyDescent="0.35">
      <c r="B23" t="s">
        <v>49</v>
      </c>
      <c r="C23" s="11">
        <v>2</v>
      </c>
      <c r="D23" s="1">
        <f t="shared" si="11"/>
        <v>22</v>
      </c>
      <c r="E23" t="s">
        <v>50</v>
      </c>
      <c r="F23" t="s">
        <v>51</v>
      </c>
      <c r="K23" s="56" t="s">
        <v>23</v>
      </c>
      <c r="L23" s="103" t="s">
        <v>24</v>
      </c>
      <c r="O23" s="64" t="s">
        <v>24</v>
      </c>
      <c r="P23" s="61" t="s">
        <v>24</v>
      </c>
      <c r="W23" s="40" t="s">
        <v>24</v>
      </c>
      <c r="X23" s="41" t="s">
        <v>24</v>
      </c>
      <c r="AA23" s="95" t="s">
        <v>24</v>
      </c>
      <c r="AB23" s="102" t="s">
        <v>24</v>
      </c>
      <c r="AE23" s="64" t="s">
        <v>24</v>
      </c>
      <c r="AF23" s="61" t="s">
        <v>24</v>
      </c>
      <c r="AI23" s="62"/>
      <c r="AJ23" s="31"/>
      <c r="AK23" s="31"/>
      <c r="AL23" s="31"/>
      <c r="AM23" s="40" t="s">
        <v>24</v>
      </c>
      <c r="AN23" s="41" t="s">
        <v>24</v>
      </c>
      <c r="AO23" s="31"/>
      <c r="AP23" s="31"/>
      <c r="AQ23" s="95" t="s">
        <v>24</v>
      </c>
      <c r="AR23" s="102" t="s">
        <v>24</v>
      </c>
      <c r="AS23" s="31"/>
      <c r="AT23" s="31"/>
      <c r="AU23" s="64" t="s">
        <v>24</v>
      </c>
      <c r="AV23" s="61" t="s">
        <v>24</v>
      </c>
      <c r="AY23" s="62"/>
      <c r="AZ23" s="31"/>
      <c r="BA23" s="31"/>
      <c r="BB23" s="31"/>
      <c r="BC23" s="40" t="s">
        <v>24</v>
      </c>
      <c r="BD23" s="41" t="s">
        <v>24</v>
      </c>
      <c r="BE23" s="31"/>
      <c r="BF23" s="31"/>
      <c r="BG23" s="95" t="s">
        <v>24</v>
      </c>
      <c r="BH23" s="102" t="s">
        <v>24</v>
      </c>
      <c r="BI23" s="31"/>
      <c r="BJ23" s="31"/>
      <c r="BK23" s="64" t="s">
        <v>24</v>
      </c>
      <c r="BL23" s="61" t="s">
        <v>24</v>
      </c>
    </row>
    <row r="24" spans="2:66" ht="16.5" customHeight="1" x14ac:dyDescent="0.35">
      <c r="B24" t="s">
        <v>55</v>
      </c>
      <c r="C24" s="11">
        <v>4</v>
      </c>
      <c r="D24" s="1">
        <f t="shared" si="11"/>
        <v>12</v>
      </c>
      <c r="E24" t="s">
        <v>56</v>
      </c>
      <c r="F24" t="s">
        <v>57</v>
      </c>
      <c r="K24" s="56" t="s">
        <v>23</v>
      </c>
      <c r="L24" s="103" t="s">
        <v>24</v>
      </c>
      <c r="M24" s="100" t="s">
        <v>24</v>
      </c>
      <c r="O24" s="48"/>
      <c r="S24" s="71" t="s">
        <v>24</v>
      </c>
      <c r="AB24" s="102" t="s">
        <v>24</v>
      </c>
      <c r="AC24" s="99" t="s">
        <v>24</v>
      </c>
      <c r="AE24" s="48"/>
      <c r="AI24" s="71" t="s">
        <v>24</v>
      </c>
      <c r="AJ24" s="31"/>
      <c r="AK24" s="31"/>
      <c r="AL24" s="31"/>
      <c r="AM24" s="62"/>
      <c r="AN24" s="31"/>
      <c r="AO24" s="31"/>
      <c r="AP24" s="31"/>
      <c r="AQ24" s="62"/>
      <c r="AR24" s="102" t="s">
        <v>24</v>
      </c>
      <c r="AS24" s="99" t="s">
        <v>24</v>
      </c>
      <c r="AT24" s="31"/>
      <c r="AU24" s="48"/>
      <c r="AY24" s="71" t="s">
        <v>24</v>
      </c>
      <c r="AZ24" s="31"/>
      <c r="BA24" s="31"/>
      <c r="BB24" s="31"/>
      <c r="BC24" s="62"/>
      <c r="BD24" s="31"/>
      <c r="BE24" s="31"/>
      <c r="BF24" s="31"/>
      <c r="BG24" s="62"/>
      <c r="BH24" s="102" t="s">
        <v>24</v>
      </c>
      <c r="BI24" s="99" t="s">
        <v>24</v>
      </c>
      <c r="BJ24" s="31"/>
      <c r="BK24" s="48"/>
    </row>
    <row r="25" spans="2:66" ht="16.5" customHeight="1" x14ac:dyDescent="0.35">
      <c r="B25" t="s">
        <v>58</v>
      </c>
      <c r="C25" s="11">
        <v>4</v>
      </c>
      <c r="D25" s="1">
        <f t="shared" si="11"/>
        <v>22</v>
      </c>
      <c r="E25" t="s">
        <v>59</v>
      </c>
      <c r="F25" t="s">
        <v>60</v>
      </c>
      <c r="K25" s="56" t="s">
        <v>23</v>
      </c>
      <c r="L25" s="103" t="s">
        <v>24</v>
      </c>
      <c r="M25" s="100" t="s">
        <v>24</v>
      </c>
      <c r="O25" s="64" t="s">
        <v>24</v>
      </c>
      <c r="W25" s="40" t="s">
        <v>24</v>
      </c>
      <c r="X25" s="41" t="s">
        <v>24</v>
      </c>
      <c r="AB25" s="102" t="s">
        <v>24</v>
      </c>
      <c r="AC25" s="99" t="s">
        <v>24</v>
      </c>
      <c r="AD25" s="53" t="s">
        <v>24</v>
      </c>
      <c r="AE25" s="64" t="s">
        <v>24</v>
      </c>
      <c r="AI25" s="62"/>
      <c r="AJ25" s="31"/>
      <c r="AK25" s="31"/>
      <c r="AL25" s="31"/>
      <c r="AM25" s="40" t="s">
        <v>24</v>
      </c>
      <c r="AN25" s="41" t="s">
        <v>24</v>
      </c>
      <c r="AO25" s="31"/>
      <c r="AP25" s="31"/>
      <c r="AQ25" s="62"/>
      <c r="AR25" s="102" t="s">
        <v>24</v>
      </c>
      <c r="AS25" s="99" t="s">
        <v>24</v>
      </c>
      <c r="AT25" s="53" t="s">
        <v>24</v>
      </c>
      <c r="AU25" s="64" t="s">
        <v>24</v>
      </c>
      <c r="AY25" s="62"/>
      <c r="AZ25" s="31"/>
      <c r="BA25" s="31"/>
      <c r="BB25" s="31"/>
      <c r="BC25" s="40" t="s">
        <v>24</v>
      </c>
      <c r="BD25" s="41" t="s">
        <v>24</v>
      </c>
      <c r="BE25" s="31"/>
      <c r="BF25" s="31"/>
      <c r="BG25" s="62"/>
      <c r="BH25" s="102" t="s">
        <v>24</v>
      </c>
      <c r="BI25" s="99" t="s">
        <v>24</v>
      </c>
      <c r="BJ25" s="53" t="s">
        <v>24</v>
      </c>
      <c r="BK25" s="64" t="s">
        <v>24</v>
      </c>
    </row>
    <row r="26" spans="2:66" ht="16.5" customHeight="1" x14ac:dyDescent="0.35">
      <c r="B26" t="s">
        <v>52</v>
      </c>
      <c r="C26" s="11">
        <v>4</v>
      </c>
      <c r="D26" s="1">
        <f t="shared" si="11"/>
        <v>11</v>
      </c>
      <c r="E26" t="s">
        <v>53</v>
      </c>
      <c r="F26" t="s">
        <v>54</v>
      </c>
      <c r="L26" s="103" t="s">
        <v>23</v>
      </c>
      <c r="M26" s="100" t="s">
        <v>24</v>
      </c>
      <c r="O26" s="48"/>
      <c r="P26" s="37"/>
      <c r="Q26" s="37"/>
      <c r="T26" s="110" t="s">
        <v>24</v>
      </c>
      <c r="X26" s="41" t="s">
        <v>24</v>
      </c>
      <c r="Y26" s="93" t="s">
        <v>24</v>
      </c>
      <c r="AE26" s="48"/>
      <c r="AF26" s="37"/>
      <c r="AG26" s="37"/>
      <c r="AI26" s="62"/>
      <c r="AJ26" s="110" t="s">
        <v>24</v>
      </c>
      <c r="AK26" s="31"/>
      <c r="AL26" s="31"/>
      <c r="AM26" s="62"/>
      <c r="AN26" s="41" t="s">
        <v>24</v>
      </c>
      <c r="AO26" s="93" t="s">
        <v>24</v>
      </c>
      <c r="AP26" s="31"/>
      <c r="AQ26" s="62"/>
      <c r="AR26" s="31"/>
      <c r="AS26" s="31"/>
      <c r="AT26" s="31"/>
      <c r="AU26" s="48"/>
      <c r="AV26" s="37"/>
      <c r="AW26" s="37"/>
      <c r="AY26" s="62"/>
      <c r="AZ26" s="110" t="s">
        <v>24</v>
      </c>
      <c r="BA26" s="31"/>
      <c r="BB26" s="31"/>
      <c r="BC26" s="62"/>
      <c r="BD26" s="41" t="s">
        <v>24</v>
      </c>
      <c r="BE26" s="93" t="s">
        <v>24</v>
      </c>
      <c r="BF26" s="31"/>
      <c r="BG26" s="62"/>
      <c r="BH26" s="31"/>
      <c r="BI26" s="31"/>
      <c r="BJ26" s="31"/>
      <c r="BK26" s="48"/>
      <c r="BL26" s="37"/>
      <c r="BM26" s="37"/>
    </row>
    <row r="27" spans="2:66" ht="16.5" customHeight="1" x14ac:dyDescent="0.35">
      <c r="B27" t="s">
        <v>61</v>
      </c>
      <c r="C27" s="11">
        <v>4</v>
      </c>
      <c r="D27" s="1">
        <f t="shared" si="11"/>
        <v>11</v>
      </c>
      <c r="E27" t="s">
        <v>62</v>
      </c>
      <c r="F27" t="s">
        <v>63</v>
      </c>
      <c r="L27" s="103" t="s">
        <v>23</v>
      </c>
      <c r="M27" s="100" t="s">
        <v>24</v>
      </c>
      <c r="O27" s="48"/>
      <c r="S27" s="71" t="s">
        <v>24</v>
      </c>
      <c r="X27" s="41" t="s">
        <v>24</v>
      </c>
      <c r="Y27" s="93" t="s">
        <v>24</v>
      </c>
      <c r="AE27" s="48"/>
      <c r="AI27" s="71" t="s">
        <v>24</v>
      </c>
      <c r="AJ27" s="31"/>
      <c r="AK27" s="31"/>
      <c r="AL27" s="31"/>
      <c r="AM27" s="62"/>
      <c r="AN27" s="41" t="s">
        <v>24</v>
      </c>
      <c r="AO27" s="93" t="s">
        <v>24</v>
      </c>
      <c r="AP27" s="31"/>
      <c r="AQ27" s="62"/>
      <c r="AR27" s="31"/>
      <c r="AS27" s="31"/>
      <c r="AT27" s="31"/>
      <c r="AU27" s="48"/>
      <c r="AY27" s="71" t="s">
        <v>24</v>
      </c>
      <c r="AZ27" s="31"/>
      <c r="BA27" s="31"/>
      <c r="BB27" s="31"/>
      <c r="BC27" s="62"/>
      <c r="BD27" s="41" t="s">
        <v>24</v>
      </c>
      <c r="BE27" s="93" t="s">
        <v>24</v>
      </c>
      <c r="BF27" s="31"/>
      <c r="BG27" s="62"/>
      <c r="BH27" s="31"/>
      <c r="BI27" s="31"/>
      <c r="BJ27" s="31"/>
      <c r="BK27" s="48"/>
    </row>
    <row r="28" spans="2:66" ht="16.5" customHeight="1" x14ac:dyDescent="0.35">
      <c r="B28" t="s">
        <v>64</v>
      </c>
      <c r="C28" s="11">
        <v>4</v>
      </c>
      <c r="D28" s="1">
        <f t="shared" si="11"/>
        <v>22</v>
      </c>
      <c r="E28" t="s">
        <v>65</v>
      </c>
      <c r="F28" t="s">
        <v>66</v>
      </c>
      <c r="L28" s="103" t="s">
        <v>23</v>
      </c>
      <c r="M28" s="100" t="s">
        <v>24</v>
      </c>
      <c r="N28" s="58" t="s">
        <v>24</v>
      </c>
      <c r="O28" s="64" t="s">
        <v>24</v>
      </c>
      <c r="S28" s="71" t="s">
        <v>24</v>
      </c>
      <c r="X28" s="41" t="s">
        <v>24</v>
      </c>
      <c r="Y28" s="93" t="s">
        <v>24</v>
      </c>
      <c r="Z28" s="54" t="s">
        <v>24</v>
      </c>
      <c r="AA28" s="95" t="s">
        <v>24</v>
      </c>
      <c r="AE28" s="64" t="s">
        <v>24</v>
      </c>
      <c r="AI28" s="71" t="s">
        <v>24</v>
      </c>
      <c r="AJ28" s="31"/>
      <c r="AK28" s="31"/>
      <c r="AL28" s="31"/>
      <c r="AM28" s="62"/>
      <c r="AN28" s="41" t="s">
        <v>24</v>
      </c>
      <c r="AO28" s="93" t="s">
        <v>24</v>
      </c>
      <c r="AP28" s="54" t="s">
        <v>24</v>
      </c>
      <c r="AQ28" s="95" t="s">
        <v>24</v>
      </c>
      <c r="AR28" s="31"/>
      <c r="AS28" s="31"/>
      <c r="AT28" s="31"/>
      <c r="AU28" s="64" t="s">
        <v>24</v>
      </c>
      <c r="AY28" s="71" t="s">
        <v>24</v>
      </c>
      <c r="AZ28" s="31"/>
      <c r="BA28" s="31"/>
      <c r="BB28" s="31"/>
      <c r="BC28" s="62"/>
      <c r="BD28" s="41" t="s">
        <v>24</v>
      </c>
      <c r="BE28" s="93" t="s">
        <v>24</v>
      </c>
      <c r="BF28" s="54" t="s">
        <v>24</v>
      </c>
      <c r="BG28" s="95" t="s">
        <v>24</v>
      </c>
      <c r="BH28" s="31"/>
      <c r="BI28" s="31"/>
      <c r="BJ28" s="31"/>
      <c r="BK28" s="64" t="s">
        <v>24</v>
      </c>
    </row>
    <row r="29" spans="2:66" ht="16.5" customHeight="1" x14ac:dyDescent="0.35">
      <c r="B29" t="s">
        <v>67</v>
      </c>
      <c r="C29" s="11">
        <v>4</v>
      </c>
      <c r="D29" s="1">
        <f t="shared" si="11"/>
        <v>11</v>
      </c>
      <c r="E29" t="s">
        <v>68</v>
      </c>
      <c r="F29" t="s">
        <v>69</v>
      </c>
      <c r="M29" s="100" t="s">
        <v>23</v>
      </c>
      <c r="N29" s="58" t="s">
        <v>24</v>
      </c>
      <c r="T29" s="110" t="s">
        <v>24</v>
      </c>
      <c r="U29" s="112" t="s">
        <v>24</v>
      </c>
      <c r="W29" s="40" t="s">
        <v>24</v>
      </c>
      <c r="AI29" s="62"/>
      <c r="AJ29" s="110" t="s">
        <v>24</v>
      </c>
      <c r="AK29" s="112" t="s">
        <v>24</v>
      </c>
      <c r="AL29" s="31"/>
      <c r="AM29" s="40" t="s">
        <v>24</v>
      </c>
      <c r="AN29" s="31"/>
      <c r="AO29" s="31"/>
      <c r="AP29" s="31"/>
      <c r="AQ29" s="62"/>
      <c r="AR29" s="31"/>
      <c r="AS29" s="31"/>
      <c r="AT29" s="31"/>
      <c r="AY29" s="62"/>
      <c r="AZ29" s="110" t="s">
        <v>24</v>
      </c>
      <c r="BA29" s="112" t="s">
        <v>24</v>
      </c>
      <c r="BB29" s="31"/>
      <c r="BC29" s="40" t="s">
        <v>24</v>
      </c>
      <c r="BD29" s="31"/>
      <c r="BE29" s="31"/>
      <c r="BF29" s="31"/>
      <c r="BG29" s="62"/>
      <c r="BH29" s="31"/>
      <c r="BI29" s="31"/>
      <c r="BJ29" s="31"/>
    </row>
    <row r="30" spans="2:66" ht="16.5" customHeight="1" x14ac:dyDescent="0.35">
      <c r="B30" t="s">
        <v>70</v>
      </c>
      <c r="C30" s="11">
        <v>4</v>
      </c>
      <c r="D30" s="1">
        <f t="shared" si="11"/>
        <v>15</v>
      </c>
      <c r="E30" t="s">
        <v>71</v>
      </c>
      <c r="F30" t="s">
        <v>72</v>
      </c>
      <c r="M30" s="100" t="s">
        <v>23</v>
      </c>
      <c r="N30" s="58" t="s">
        <v>24</v>
      </c>
      <c r="O30" s="64" t="s">
        <v>24</v>
      </c>
      <c r="S30" s="71" t="s">
        <v>24</v>
      </c>
      <c r="AC30" s="99" t="s">
        <v>24</v>
      </c>
      <c r="AD30" s="53" t="s">
        <v>24</v>
      </c>
      <c r="AE30" s="64" t="s">
        <v>24</v>
      </c>
      <c r="AI30" s="71" t="s">
        <v>24</v>
      </c>
      <c r="AJ30" s="31"/>
      <c r="AK30" s="31"/>
      <c r="AL30" s="31"/>
      <c r="AM30" s="62"/>
      <c r="AN30" s="31"/>
      <c r="AO30" s="31"/>
      <c r="AP30" s="31"/>
      <c r="AQ30" s="62"/>
      <c r="AR30" s="31"/>
      <c r="AS30" s="99" t="s">
        <v>24</v>
      </c>
      <c r="AT30" s="53" t="s">
        <v>24</v>
      </c>
      <c r="AU30" s="64" t="s">
        <v>24</v>
      </c>
      <c r="AY30" s="71" t="s">
        <v>24</v>
      </c>
      <c r="AZ30" s="31"/>
      <c r="BA30" s="31"/>
      <c r="BB30" s="31"/>
      <c r="BC30" s="62"/>
      <c r="BD30" s="31"/>
      <c r="BE30" s="31"/>
      <c r="BF30" s="31"/>
      <c r="BG30" s="62"/>
      <c r="BH30" s="31"/>
      <c r="BI30" s="99" t="s">
        <v>24</v>
      </c>
      <c r="BJ30" s="53" t="s">
        <v>24</v>
      </c>
      <c r="BK30" s="64" t="s">
        <v>24</v>
      </c>
    </row>
    <row r="31" spans="2:66" ht="16.5" customHeight="1" x14ac:dyDescent="0.35">
      <c r="B31" t="s">
        <v>73</v>
      </c>
      <c r="C31" s="11">
        <v>4</v>
      </c>
      <c r="D31" s="1">
        <f t="shared" si="11"/>
        <v>15</v>
      </c>
      <c r="E31" t="s">
        <v>74</v>
      </c>
      <c r="F31" t="s">
        <v>75</v>
      </c>
      <c r="M31" s="100" t="s">
        <v>23</v>
      </c>
      <c r="N31" s="58" t="s">
        <v>24</v>
      </c>
      <c r="O31" s="64" t="s">
        <v>24</v>
      </c>
      <c r="S31" s="71" t="s">
        <v>24</v>
      </c>
      <c r="AC31" s="99" t="s">
        <v>24</v>
      </c>
      <c r="AD31" s="53" t="s">
        <v>24</v>
      </c>
      <c r="AE31" s="64" t="s">
        <v>24</v>
      </c>
      <c r="AI31" s="71" t="s">
        <v>24</v>
      </c>
      <c r="AJ31" s="31"/>
      <c r="AK31" s="31"/>
      <c r="AL31" s="31"/>
      <c r="AM31" s="62"/>
      <c r="AN31" s="31"/>
      <c r="AO31" s="31"/>
      <c r="AP31" s="31"/>
      <c r="AQ31" s="62"/>
      <c r="AR31" s="31"/>
      <c r="AS31" s="99" t="s">
        <v>24</v>
      </c>
      <c r="AT31" s="53" t="s">
        <v>24</v>
      </c>
      <c r="AU31" s="64" t="s">
        <v>24</v>
      </c>
      <c r="AY31" s="71" t="s">
        <v>24</v>
      </c>
      <c r="AZ31" s="31"/>
      <c r="BA31" s="31"/>
      <c r="BB31" s="31"/>
      <c r="BC31" s="62"/>
      <c r="BD31" s="31"/>
      <c r="BE31" s="31"/>
      <c r="BF31" s="31"/>
      <c r="BG31" s="62"/>
      <c r="BH31" s="31"/>
      <c r="BI31" s="99" t="s">
        <v>24</v>
      </c>
      <c r="BJ31" s="53" t="s">
        <v>24</v>
      </c>
      <c r="BK31" s="64" t="s">
        <v>24</v>
      </c>
    </row>
    <row r="32" spans="2:66" ht="16.5" customHeight="1" x14ac:dyDescent="0.35">
      <c r="B32" t="s">
        <v>79</v>
      </c>
      <c r="C32" s="11">
        <v>6</v>
      </c>
      <c r="D32" s="1">
        <f t="shared" si="11"/>
        <v>23</v>
      </c>
      <c r="E32" t="s">
        <v>80</v>
      </c>
      <c r="F32" t="s">
        <v>81</v>
      </c>
      <c r="M32" s="100" t="s">
        <v>23</v>
      </c>
      <c r="N32" s="58" t="s">
        <v>24</v>
      </c>
      <c r="P32" s="61" t="s">
        <v>24</v>
      </c>
      <c r="Q32" s="107" t="s">
        <v>24</v>
      </c>
      <c r="R32" s="67" t="s">
        <v>24</v>
      </c>
      <c r="Y32" s="93" t="s">
        <v>24</v>
      </c>
      <c r="Z32" s="54" t="s">
        <v>24</v>
      </c>
      <c r="AA32" s="95" t="s">
        <v>24</v>
      </c>
      <c r="AF32" s="61" t="s">
        <v>24</v>
      </c>
      <c r="AG32" s="107" t="s">
        <v>24</v>
      </c>
      <c r="AH32" s="67" t="s">
        <v>24</v>
      </c>
      <c r="AI32" s="62"/>
      <c r="AJ32" s="31"/>
      <c r="AK32" s="31"/>
      <c r="AL32" s="31"/>
      <c r="AM32" s="62"/>
      <c r="AN32" s="31"/>
      <c r="AO32" s="93" t="s">
        <v>24</v>
      </c>
      <c r="AP32" s="54" t="s">
        <v>24</v>
      </c>
      <c r="AQ32" s="95" t="s">
        <v>24</v>
      </c>
      <c r="AR32" s="31"/>
      <c r="AS32" s="31"/>
      <c r="AT32" s="31"/>
      <c r="AV32" s="61" t="s">
        <v>24</v>
      </c>
      <c r="AW32" s="107" t="s">
        <v>24</v>
      </c>
      <c r="AX32" s="67" t="s">
        <v>24</v>
      </c>
      <c r="AY32" s="62"/>
      <c r="AZ32" s="31"/>
      <c r="BA32" s="31"/>
      <c r="BB32" s="31"/>
      <c r="BC32" s="62"/>
      <c r="BD32" s="31"/>
      <c r="BE32" s="93" t="s">
        <v>24</v>
      </c>
      <c r="BF32" s="54" t="s">
        <v>24</v>
      </c>
      <c r="BG32" s="95" t="s">
        <v>24</v>
      </c>
      <c r="BH32" s="31"/>
      <c r="BI32" s="31"/>
      <c r="BJ32" s="31"/>
      <c r="BL32" s="61" t="s">
        <v>24</v>
      </c>
      <c r="BM32" s="107" t="s">
        <v>24</v>
      </c>
      <c r="BN32" s="67" t="s">
        <v>24</v>
      </c>
    </row>
    <row r="33" spans="2:66" ht="16.5" customHeight="1" x14ac:dyDescent="0.35">
      <c r="B33" t="s">
        <v>76</v>
      </c>
      <c r="C33" s="11">
        <v>6</v>
      </c>
      <c r="D33" s="1">
        <f t="shared" si="11"/>
        <v>7</v>
      </c>
      <c r="E33" t="s">
        <v>77</v>
      </c>
      <c r="F33" t="s">
        <v>78</v>
      </c>
      <c r="N33" s="58" t="s">
        <v>23</v>
      </c>
      <c r="V33" s="72" t="s">
        <v>24</v>
      </c>
      <c r="AD33" s="53" t="s">
        <v>24</v>
      </c>
      <c r="AI33" s="62"/>
      <c r="AJ33" s="31"/>
      <c r="AK33" s="31"/>
      <c r="AL33" s="72" t="s">
        <v>24</v>
      </c>
      <c r="AM33" s="62"/>
      <c r="AN33" s="31"/>
      <c r="AO33" s="31"/>
      <c r="AP33" s="31"/>
      <c r="AQ33" s="62"/>
      <c r="AR33" s="31"/>
      <c r="AS33" s="31"/>
      <c r="AT33" s="53" t="s">
        <v>24</v>
      </c>
      <c r="AY33" s="62"/>
      <c r="AZ33" s="31"/>
      <c r="BA33" s="31"/>
      <c r="BB33" s="72" t="s">
        <v>24</v>
      </c>
      <c r="BC33" s="62"/>
      <c r="BD33" s="31"/>
      <c r="BE33" s="31"/>
      <c r="BF33" s="31"/>
      <c r="BG33" s="62"/>
      <c r="BH33" s="31"/>
      <c r="BI33" s="31"/>
      <c r="BJ33" s="53" t="s">
        <v>24</v>
      </c>
    </row>
    <row r="34" spans="2:66" ht="16.5" customHeight="1" x14ac:dyDescent="0.35">
      <c r="B34" t="s">
        <v>82</v>
      </c>
      <c r="C34" s="11">
        <v>4</v>
      </c>
      <c r="D34" s="1">
        <f t="shared" si="11"/>
        <v>7</v>
      </c>
      <c r="E34" t="s">
        <v>83</v>
      </c>
      <c r="F34" t="s">
        <v>84</v>
      </c>
      <c r="N34" s="58" t="s">
        <v>23</v>
      </c>
      <c r="V34" s="72" t="s">
        <v>24</v>
      </c>
      <c r="Z34" s="54" t="s">
        <v>24</v>
      </c>
      <c r="AI34" s="62"/>
      <c r="AJ34" s="31"/>
      <c r="AK34" s="31"/>
      <c r="AL34" s="72" t="s">
        <v>24</v>
      </c>
      <c r="AM34" s="62"/>
      <c r="AN34" s="31"/>
      <c r="AO34" s="31"/>
      <c r="AP34" s="54" t="s">
        <v>24</v>
      </c>
      <c r="AQ34" s="62"/>
      <c r="AR34" s="31"/>
      <c r="AS34" s="31"/>
      <c r="AT34" s="31"/>
      <c r="AY34" s="62"/>
      <c r="AZ34" s="31"/>
      <c r="BA34" s="31"/>
      <c r="BB34" s="72" t="s">
        <v>24</v>
      </c>
      <c r="BC34" s="62"/>
      <c r="BD34" s="31"/>
      <c r="BE34" s="31"/>
      <c r="BF34" s="54" t="s">
        <v>24</v>
      </c>
      <c r="BG34" s="62"/>
      <c r="BH34" s="31"/>
      <c r="BI34" s="31"/>
      <c r="BJ34" s="31"/>
    </row>
    <row r="35" spans="2:66" x14ac:dyDescent="0.35">
      <c r="B35" s="2" t="s">
        <v>795</v>
      </c>
      <c r="C35" s="28">
        <v>4</v>
      </c>
      <c r="D35" s="5">
        <f t="shared" si="11"/>
        <v>4</v>
      </c>
      <c r="E35" s="2" t="s">
        <v>803</v>
      </c>
      <c r="F35" s="2" t="s">
        <v>804</v>
      </c>
      <c r="O35" s="104" t="s">
        <v>23</v>
      </c>
      <c r="P35" s="115" t="s">
        <v>24</v>
      </c>
      <c r="Q35" s="115" t="s">
        <v>24</v>
      </c>
      <c r="R35" s="115" t="s">
        <v>24</v>
      </c>
      <c r="AI35" s="62"/>
      <c r="AJ35" s="31"/>
      <c r="AK35" s="31"/>
      <c r="AL35" s="31"/>
      <c r="AM35" s="62"/>
      <c r="AN35" s="31"/>
      <c r="AO35" s="31"/>
      <c r="AP35" s="31"/>
      <c r="AQ35" s="62"/>
      <c r="AR35" s="31"/>
      <c r="AS35" s="31"/>
      <c r="AT35" s="31"/>
      <c r="AY35" s="62"/>
      <c r="AZ35" s="31"/>
      <c r="BA35" s="31"/>
      <c r="BB35" s="31"/>
      <c r="BC35" s="62"/>
      <c r="BD35" s="31"/>
      <c r="BE35" s="31"/>
      <c r="BF35" s="31"/>
      <c r="BG35" s="62"/>
      <c r="BH35" s="31"/>
      <c r="BI35" s="31"/>
      <c r="BJ35" s="31"/>
    </row>
    <row r="36" spans="2:66" x14ac:dyDescent="0.35">
      <c r="B36" t="s">
        <v>85</v>
      </c>
      <c r="C36" s="11">
        <v>2</v>
      </c>
      <c r="D36" s="1">
        <f t="shared" si="11"/>
        <v>10</v>
      </c>
      <c r="E36" t="s">
        <v>86</v>
      </c>
      <c r="F36" t="s">
        <v>87</v>
      </c>
      <c r="O36" s="64" t="s">
        <v>23</v>
      </c>
      <c r="W36" s="40" t="s">
        <v>24</v>
      </c>
      <c r="X36" s="41" t="s">
        <v>24</v>
      </c>
      <c r="AE36" s="64" t="s">
        <v>24</v>
      </c>
      <c r="AI36" s="62"/>
      <c r="AJ36" s="31"/>
      <c r="AK36" s="31"/>
      <c r="AL36" s="31"/>
      <c r="AM36" s="40" t="s">
        <v>24</v>
      </c>
      <c r="AN36" s="41" t="s">
        <v>24</v>
      </c>
      <c r="AO36" s="31"/>
      <c r="AP36" s="31"/>
      <c r="AQ36" s="62"/>
      <c r="AR36" s="31"/>
      <c r="AS36" s="31"/>
      <c r="AT36" s="31"/>
      <c r="AU36" s="64" t="s">
        <v>24</v>
      </c>
      <c r="AY36" s="62"/>
      <c r="AZ36" s="31"/>
      <c r="BA36" s="31"/>
      <c r="BB36" s="31"/>
      <c r="BC36" s="40" t="s">
        <v>24</v>
      </c>
      <c r="BD36" s="41" t="s">
        <v>24</v>
      </c>
      <c r="BE36" s="31"/>
      <c r="BF36" s="31"/>
      <c r="BG36" s="62"/>
      <c r="BH36" s="31"/>
      <c r="BI36" s="31"/>
      <c r="BJ36" s="31"/>
      <c r="BK36" s="64" t="s">
        <v>24</v>
      </c>
    </row>
    <row r="37" spans="2:66" x14ac:dyDescent="0.35">
      <c r="B37" t="s">
        <v>88</v>
      </c>
      <c r="C37" s="11">
        <v>2</v>
      </c>
      <c r="D37" s="1">
        <f t="shared" si="11"/>
        <v>10</v>
      </c>
      <c r="E37" t="s">
        <v>89</v>
      </c>
      <c r="F37" t="s">
        <v>90</v>
      </c>
      <c r="O37" s="64" t="s">
        <v>23</v>
      </c>
      <c r="W37" s="40" t="s">
        <v>24</v>
      </c>
      <c r="X37" s="41" t="s">
        <v>24</v>
      </c>
      <c r="AE37" s="64" t="s">
        <v>24</v>
      </c>
      <c r="AI37" s="62"/>
      <c r="AJ37" s="31"/>
      <c r="AK37" s="31"/>
      <c r="AL37" s="31"/>
      <c r="AM37" s="40" t="s">
        <v>24</v>
      </c>
      <c r="AN37" s="41" t="s">
        <v>24</v>
      </c>
      <c r="AO37" s="31"/>
      <c r="AP37" s="31"/>
      <c r="AQ37" s="62"/>
      <c r="AR37" s="31"/>
      <c r="AS37" s="31"/>
      <c r="AT37" s="31"/>
      <c r="AU37" s="64" t="s">
        <v>24</v>
      </c>
      <c r="AY37" s="62"/>
      <c r="AZ37" s="31"/>
      <c r="BA37" s="31"/>
      <c r="BB37" s="31"/>
      <c r="BC37" s="40" t="s">
        <v>24</v>
      </c>
      <c r="BD37" s="41" t="s">
        <v>24</v>
      </c>
      <c r="BE37" s="31"/>
      <c r="BF37" s="31"/>
      <c r="BG37" s="62"/>
      <c r="BH37" s="31"/>
      <c r="BI37" s="31"/>
      <c r="BJ37" s="31"/>
      <c r="BK37" s="64" t="s">
        <v>24</v>
      </c>
    </row>
    <row r="38" spans="2:66" ht="16.5" customHeight="1" x14ac:dyDescent="0.35">
      <c r="B38" t="s">
        <v>91</v>
      </c>
      <c r="C38" s="11">
        <v>4</v>
      </c>
      <c r="D38" s="1">
        <f t="shared" si="11"/>
        <v>24</v>
      </c>
      <c r="E38" t="s">
        <v>92</v>
      </c>
      <c r="F38" t="s">
        <v>93</v>
      </c>
      <c r="O38" s="64" t="s">
        <v>23</v>
      </c>
      <c r="P38" s="65" t="s">
        <v>24</v>
      </c>
      <c r="Q38" s="108" t="s">
        <v>24</v>
      </c>
      <c r="S38" s="71" t="s">
        <v>24</v>
      </c>
      <c r="T38" s="110" t="s">
        <v>24</v>
      </c>
      <c r="U38" s="112" t="s">
        <v>24</v>
      </c>
      <c r="AB38" s="102" t="s">
        <v>24</v>
      </c>
      <c r="AE38" s="64" t="s">
        <v>24</v>
      </c>
      <c r="AF38" s="65" t="s">
        <v>24</v>
      </c>
      <c r="AG38" s="108" t="s">
        <v>24</v>
      </c>
      <c r="AI38" s="71" t="s">
        <v>24</v>
      </c>
      <c r="AJ38" s="110" t="s">
        <v>24</v>
      </c>
      <c r="AK38" s="112" t="s">
        <v>24</v>
      </c>
      <c r="AL38" s="31"/>
      <c r="AM38" s="62"/>
      <c r="AN38" s="31"/>
      <c r="AO38" s="31"/>
      <c r="AP38" s="31"/>
      <c r="AQ38" s="62"/>
      <c r="AR38" s="102" t="s">
        <v>24</v>
      </c>
      <c r="AS38" s="31"/>
      <c r="AT38" s="31"/>
      <c r="AU38" s="64" t="s">
        <v>24</v>
      </c>
      <c r="AV38" s="65" t="s">
        <v>24</v>
      </c>
      <c r="AW38" s="108" t="s">
        <v>24</v>
      </c>
      <c r="AY38" s="71" t="s">
        <v>24</v>
      </c>
      <c r="AZ38" s="110" t="s">
        <v>24</v>
      </c>
      <c r="BA38" s="112" t="s">
        <v>24</v>
      </c>
      <c r="BB38" s="31"/>
      <c r="BC38" s="62"/>
      <c r="BD38" s="31"/>
      <c r="BE38" s="31"/>
      <c r="BF38" s="31"/>
      <c r="BG38" s="62"/>
      <c r="BH38" s="102" t="s">
        <v>24</v>
      </c>
      <c r="BI38" s="31"/>
      <c r="BJ38" s="31"/>
      <c r="BK38" s="64" t="s">
        <v>24</v>
      </c>
      <c r="BL38" s="65" t="s">
        <v>24</v>
      </c>
      <c r="BM38" s="108" t="s">
        <v>24</v>
      </c>
    </row>
    <row r="39" spans="2:66" x14ac:dyDescent="0.35">
      <c r="B39" t="s">
        <v>94</v>
      </c>
      <c r="C39" s="11">
        <v>4</v>
      </c>
      <c r="D39" s="1">
        <f t="shared" si="11"/>
        <v>27</v>
      </c>
      <c r="E39" t="s">
        <v>95</v>
      </c>
      <c r="F39" t="s">
        <v>96</v>
      </c>
      <c r="O39" s="64" t="s">
        <v>23</v>
      </c>
      <c r="P39" s="65" t="s">
        <v>24</v>
      </c>
      <c r="Q39" s="108" t="s">
        <v>24</v>
      </c>
      <c r="S39" s="71" t="s">
        <v>24</v>
      </c>
      <c r="T39" s="110" t="s">
        <v>24</v>
      </c>
      <c r="U39" s="112" t="s">
        <v>24</v>
      </c>
      <c r="X39" s="41" t="s">
        <v>24</v>
      </c>
      <c r="Y39" s="93" t="s">
        <v>24</v>
      </c>
      <c r="AE39" s="64" t="s">
        <v>24</v>
      </c>
      <c r="AF39" s="65" t="s">
        <v>24</v>
      </c>
      <c r="AG39" s="108" t="s">
        <v>24</v>
      </c>
      <c r="AI39" s="71" t="s">
        <v>24</v>
      </c>
      <c r="AJ39" s="110" t="s">
        <v>24</v>
      </c>
      <c r="AK39" s="112" t="s">
        <v>24</v>
      </c>
      <c r="AL39" s="31"/>
      <c r="AM39" s="62"/>
      <c r="AN39" s="41" t="s">
        <v>24</v>
      </c>
      <c r="AO39" s="93" t="s">
        <v>24</v>
      </c>
      <c r="AP39" s="31"/>
      <c r="AQ39" s="62"/>
      <c r="AR39" s="31"/>
      <c r="AS39" s="31"/>
      <c r="AT39" s="31"/>
      <c r="AU39" s="64" t="s">
        <v>24</v>
      </c>
      <c r="AV39" s="65" t="s">
        <v>24</v>
      </c>
      <c r="AW39" s="108" t="s">
        <v>24</v>
      </c>
      <c r="AY39" s="71" t="s">
        <v>24</v>
      </c>
      <c r="AZ39" s="110" t="s">
        <v>24</v>
      </c>
      <c r="BA39" s="112" t="s">
        <v>24</v>
      </c>
      <c r="BB39" s="31"/>
      <c r="BC39" s="62"/>
      <c r="BD39" s="41" t="s">
        <v>24</v>
      </c>
      <c r="BE39" s="93" t="s">
        <v>24</v>
      </c>
      <c r="BF39" s="31"/>
      <c r="BG39" s="62"/>
      <c r="BH39" s="31"/>
      <c r="BI39" s="31"/>
      <c r="BJ39" s="31"/>
      <c r="BK39" s="64" t="s">
        <v>24</v>
      </c>
      <c r="BL39" s="65" t="s">
        <v>24</v>
      </c>
      <c r="BM39" s="108" t="s">
        <v>24</v>
      </c>
    </row>
    <row r="40" spans="2:66" x14ac:dyDescent="0.35">
      <c r="B40" t="s">
        <v>100</v>
      </c>
      <c r="C40" s="11">
        <v>4</v>
      </c>
      <c r="D40" s="1">
        <f t="shared" si="11"/>
        <v>18</v>
      </c>
      <c r="E40" t="s">
        <v>101</v>
      </c>
      <c r="F40" t="s">
        <v>102</v>
      </c>
      <c r="P40" s="65" t="s">
        <v>23</v>
      </c>
      <c r="Q40" s="108" t="s">
        <v>24</v>
      </c>
      <c r="R40" s="68" t="s">
        <v>24</v>
      </c>
      <c r="W40" s="40" t="s">
        <v>24</v>
      </c>
      <c r="X40" s="41" t="s">
        <v>24</v>
      </c>
      <c r="AF40" s="65" t="s">
        <v>24</v>
      </c>
      <c r="AG40" s="108" t="s">
        <v>24</v>
      </c>
      <c r="AH40" s="68" t="s">
        <v>24</v>
      </c>
      <c r="AI40" s="62"/>
      <c r="AJ40" s="31"/>
      <c r="AK40" s="31"/>
      <c r="AL40" s="31"/>
      <c r="AM40" s="40" t="s">
        <v>24</v>
      </c>
      <c r="AN40" s="41" t="s">
        <v>24</v>
      </c>
      <c r="AO40" s="31"/>
      <c r="AP40" s="31"/>
      <c r="AQ40" s="62"/>
      <c r="AR40" s="31"/>
      <c r="AS40" s="31"/>
      <c r="AT40" s="31"/>
      <c r="AV40" s="65" t="s">
        <v>24</v>
      </c>
      <c r="AW40" s="108" t="s">
        <v>24</v>
      </c>
      <c r="AX40" s="68" t="s">
        <v>24</v>
      </c>
      <c r="AY40" s="62"/>
      <c r="AZ40" s="31"/>
      <c r="BA40" s="31"/>
      <c r="BB40" s="31"/>
      <c r="BC40" s="40" t="s">
        <v>24</v>
      </c>
      <c r="BD40" s="41" t="s">
        <v>24</v>
      </c>
      <c r="BE40" s="31"/>
      <c r="BF40" s="31"/>
      <c r="BG40" s="62"/>
      <c r="BH40" s="31"/>
      <c r="BI40" s="31"/>
      <c r="BJ40" s="31"/>
      <c r="BL40" s="65" t="s">
        <v>24</v>
      </c>
      <c r="BM40" s="108" t="s">
        <v>24</v>
      </c>
      <c r="BN40" s="68" t="s">
        <v>24</v>
      </c>
    </row>
    <row r="41" spans="2:66" x14ac:dyDescent="0.35">
      <c r="B41" t="s">
        <v>103</v>
      </c>
      <c r="C41" s="11">
        <v>4</v>
      </c>
      <c r="D41" s="1">
        <f t="shared" si="11"/>
        <v>18</v>
      </c>
      <c r="E41" t="s">
        <v>104</v>
      </c>
      <c r="F41" t="s">
        <v>105</v>
      </c>
      <c r="P41" s="65" t="s">
        <v>23</v>
      </c>
      <c r="Q41" s="108" t="s">
        <v>24</v>
      </c>
      <c r="R41" s="68" t="s">
        <v>24</v>
      </c>
      <c r="W41" s="40" t="s">
        <v>24</v>
      </c>
      <c r="X41" s="41" t="s">
        <v>24</v>
      </c>
      <c r="AF41" s="65" t="s">
        <v>24</v>
      </c>
      <c r="AG41" s="108" t="s">
        <v>24</v>
      </c>
      <c r="AH41" s="68" t="s">
        <v>24</v>
      </c>
      <c r="AI41" s="62"/>
      <c r="AJ41" s="31"/>
      <c r="AK41" s="31"/>
      <c r="AL41" s="31"/>
      <c r="AM41" s="40" t="s">
        <v>24</v>
      </c>
      <c r="AN41" s="41" t="s">
        <v>24</v>
      </c>
      <c r="AO41" s="31"/>
      <c r="AP41" s="31"/>
      <c r="AQ41" s="62"/>
      <c r="AR41" s="31"/>
      <c r="AS41" s="31"/>
      <c r="AT41" s="31"/>
      <c r="AV41" s="65" t="s">
        <v>24</v>
      </c>
      <c r="AW41" s="108" t="s">
        <v>24</v>
      </c>
      <c r="AX41" s="68" t="s">
        <v>24</v>
      </c>
      <c r="AY41" s="62"/>
      <c r="AZ41" s="31"/>
      <c r="BA41" s="31"/>
      <c r="BB41" s="31"/>
      <c r="BC41" s="40" t="s">
        <v>24</v>
      </c>
      <c r="BD41" s="41" t="s">
        <v>24</v>
      </c>
      <c r="BE41" s="31"/>
      <c r="BF41" s="31"/>
      <c r="BG41" s="62"/>
      <c r="BH41" s="31"/>
      <c r="BI41" s="31"/>
      <c r="BJ41" s="31"/>
      <c r="BL41" s="65" t="s">
        <v>24</v>
      </c>
      <c r="BM41" s="108" t="s">
        <v>24</v>
      </c>
      <c r="BN41" s="68" t="s">
        <v>24</v>
      </c>
    </row>
    <row r="42" spans="2:66" x14ac:dyDescent="0.35">
      <c r="B42" t="s">
        <v>97</v>
      </c>
      <c r="C42" s="11">
        <v>6</v>
      </c>
      <c r="D42" s="1">
        <f t="shared" si="11"/>
        <v>17</v>
      </c>
      <c r="E42" t="s">
        <v>98</v>
      </c>
      <c r="F42" t="s">
        <v>99</v>
      </c>
      <c r="Q42" s="108" t="s">
        <v>23</v>
      </c>
      <c r="R42" s="68" t="s">
        <v>24</v>
      </c>
      <c r="U42" s="112" t="s">
        <v>24</v>
      </c>
      <c r="V42" s="72" t="s">
        <v>24</v>
      </c>
      <c r="AA42" s="95" t="s">
        <v>24</v>
      </c>
      <c r="AG42" s="108" t="s">
        <v>24</v>
      </c>
      <c r="AH42" s="68" t="s">
        <v>24</v>
      </c>
      <c r="AI42" s="62"/>
      <c r="AJ42" s="31"/>
      <c r="AK42" s="112" t="s">
        <v>24</v>
      </c>
      <c r="AL42" s="72" t="s">
        <v>24</v>
      </c>
      <c r="AM42" s="62"/>
      <c r="AN42" s="31"/>
      <c r="AO42" s="31"/>
      <c r="AP42" s="31"/>
      <c r="AQ42" s="95" t="s">
        <v>24</v>
      </c>
      <c r="AR42" s="31"/>
      <c r="AS42" s="31"/>
      <c r="AT42" s="31"/>
      <c r="AW42" s="108" t="s">
        <v>24</v>
      </c>
      <c r="AX42" s="68" t="s">
        <v>24</v>
      </c>
      <c r="AY42" s="62"/>
      <c r="AZ42" s="31"/>
      <c r="BA42" s="112" t="s">
        <v>24</v>
      </c>
      <c r="BB42" s="72" t="s">
        <v>24</v>
      </c>
      <c r="BC42" s="62"/>
      <c r="BD42" s="31"/>
      <c r="BE42" s="31"/>
      <c r="BF42" s="31"/>
      <c r="BG42" s="95" t="s">
        <v>24</v>
      </c>
      <c r="BH42" s="31"/>
      <c r="BI42" s="31"/>
      <c r="BJ42" s="31"/>
      <c r="BM42" s="108" t="s">
        <v>24</v>
      </c>
      <c r="BN42" s="68" t="s">
        <v>24</v>
      </c>
    </row>
    <row r="43" spans="2:66" x14ac:dyDescent="0.35">
      <c r="B43" t="s">
        <v>106</v>
      </c>
      <c r="C43" s="11">
        <v>6</v>
      </c>
      <c r="D43" s="1">
        <f t="shared" si="11"/>
        <v>14</v>
      </c>
      <c r="E43" t="s">
        <v>107</v>
      </c>
      <c r="F43" t="s">
        <v>108</v>
      </c>
      <c r="Q43" s="108" t="s">
        <v>23</v>
      </c>
      <c r="R43" s="68" t="s">
        <v>24</v>
      </c>
      <c r="Y43" s="93" t="s">
        <v>24</v>
      </c>
      <c r="Z43" s="54" t="s">
        <v>24</v>
      </c>
      <c r="AG43" s="108" t="s">
        <v>24</v>
      </c>
      <c r="AH43" s="68" t="s">
        <v>24</v>
      </c>
      <c r="AI43" s="62"/>
      <c r="AJ43" s="31"/>
      <c r="AK43" s="31"/>
      <c r="AL43" s="31"/>
      <c r="AM43" s="62"/>
      <c r="AN43" s="31"/>
      <c r="AO43" s="93" t="s">
        <v>24</v>
      </c>
      <c r="AP43" s="54" t="s">
        <v>24</v>
      </c>
      <c r="AQ43" s="62"/>
      <c r="AR43" s="31"/>
      <c r="AS43" s="31"/>
      <c r="AT43" s="31"/>
      <c r="AW43" s="108" t="s">
        <v>24</v>
      </c>
      <c r="AX43" s="68" t="s">
        <v>24</v>
      </c>
      <c r="AY43" s="62"/>
      <c r="AZ43" s="31"/>
      <c r="BA43" s="31"/>
      <c r="BB43" s="31"/>
      <c r="BC43" s="62"/>
      <c r="BD43" s="31"/>
      <c r="BE43" s="93" t="s">
        <v>24</v>
      </c>
      <c r="BF43" s="54" t="s">
        <v>24</v>
      </c>
      <c r="BG43" s="62"/>
      <c r="BH43" s="31"/>
      <c r="BI43" s="31"/>
      <c r="BJ43" s="31"/>
      <c r="BM43" s="108" t="s">
        <v>24</v>
      </c>
      <c r="BN43" s="68" t="s">
        <v>24</v>
      </c>
    </row>
    <row r="44" spans="2:66" x14ac:dyDescent="0.35">
      <c r="B44" t="s">
        <v>109</v>
      </c>
      <c r="C44" s="11">
        <v>4</v>
      </c>
      <c r="D44" s="1">
        <f t="shared" si="11"/>
        <v>17</v>
      </c>
      <c r="E44" t="s">
        <v>110</v>
      </c>
      <c r="F44" t="s">
        <v>111</v>
      </c>
      <c r="Q44" s="108" t="s">
        <v>23</v>
      </c>
      <c r="R44" s="68" t="s">
        <v>24</v>
      </c>
      <c r="X44" s="41" t="s">
        <v>24</v>
      </c>
      <c r="Y44" s="93" t="s">
        <v>24</v>
      </c>
      <c r="Z44" s="54" t="s">
        <v>24</v>
      </c>
      <c r="AG44" s="108" t="s">
        <v>24</v>
      </c>
      <c r="AH44" s="68" t="s">
        <v>24</v>
      </c>
      <c r="AI44" s="62"/>
      <c r="AJ44" s="31"/>
      <c r="AK44" s="31"/>
      <c r="AL44" s="31"/>
      <c r="AM44" s="62"/>
      <c r="AN44" s="41" t="s">
        <v>24</v>
      </c>
      <c r="AO44" s="93" t="s">
        <v>24</v>
      </c>
      <c r="AP44" s="54" t="s">
        <v>24</v>
      </c>
      <c r="AQ44" s="62"/>
      <c r="AR44" s="31"/>
      <c r="AS44" s="31"/>
      <c r="AT44" s="31"/>
      <c r="AW44" s="108" t="s">
        <v>24</v>
      </c>
      <c r="AX44" s="68" t="s">
        <v>24</v>
      </c>
      <c r="AY44" s="62"/>
      <c r="AZ44" s="31"/>
      <c r="BA44" s="31"/>
      <c r="BB44" s="31"/>
      <c r="BC44" s="62"/>
      <c r="BD44" s="41" t="s">
        <v>24</v>
      </c>
      <c r="BE44" s="93" t="s">
        <v>24</v>
      </c>
      <c r="BF44" s="54" t="s">
        <v>24</v>
      </c>
      <c r="BG44" s="62"/>
      <c r="BH44" s="31"/>
      <c r="BI44" s="31"/>
      <c r="BJ44" s="31"/>
      <c r="BM44" s="108" t="s">
        <v>24</v>
      </c>
      <c r="BN44" s="68" t="s">
        <v>24</v>
      </c>
    </row>
    <row r="45" spans="2:66" x14ac:dyDescent="0.35">
      <c r="B45" t="s">
        <v>112</v>
      </c>
      <c r="C45" s="11">
        <v>6</v>
      </c>
      <c r="D45" s="1">
        <f t="shared" si="11"/>
        <v>11</v>
      </c>
      <c r="E45" t="s">
        <v>113</v>
      </c>
      <c r="F45" t="s">
        <v>114</v>
      </c>
      <c r="Q45" s="108" t="s">
        <v>23</v>
      </c>
      <c r="R45" s="68" t="s">
        <v>24</v>
      </c>
      <c r="Z45" s="54" t="s">
        <v>24</v>
      </c>
      <c r="AG45" s="108" t="s">
        <v>24</v>
      </c>
      <c r="AH45" s="68" t="s">
        <v>24</v>
      </c>
      <c r="AI45" s="62"/>
      <c r="AJ45" s="31"/>
      <c r="AK45" s="31"/>
      <c r="AL45" s="31"/>
      <c r="AM45" s="62"/>
      <c r="AN45" s="31"/>
      <c r="AO45" s="31"/>
      <c r="AP45" s="54" t="s">
        <v>24</v>
      </c>
      <c r="AQ45" s="62"/>
      <c r="AR45" s="31"/>
      <c r="AS45" s="31"/>
      <c r="AT45" s="31"/>
      <c r="AW45" s="108" t="s">
        <v>24</v>
      </c>
      <c r="AX45" s="68" t="s">
        <v>24</v>
      </c>
      <c r="AY45" s="62"/>
      <c r="AZ45" s="31"/>
      <c r="BA45" s="31"/>
      <c r="BB45" s="31"/>
      <c r="BC45" s="62"/>
      <c r="BD45" s="31"/>
      <c r="BE45" s="31"/>
      <c r="BF45" s="54" t="s">
        <v>24</v>
      </c>
      <c r="BG45" s="62"/>
      <c r="BH45" s="31"/>
      <c r="BI45" s="31"/>
      <c r="BJ45" s="31"/>
      <c r="BM45" s="108" t="s">
        <v>24</v>
      </c>
      <c r="BN45" s="68" t="s">
        <v>24</v>
      </c>
    </row>
    <row r="46" spans="2:66" x14ac:dyDescent="0.35">
      <c r="B46" t="s">
        <v>115</v>
      </c>
      <c r="C46" s="11">
        <v>6</v>
      </c>
      <c r="D46" s="1">
        <f t="shared" si="11"/>
        <v>10</v>
      </c>
      <c r="E46" t="s">
        <v>116</v>
      </c>
      <c r="F46" t="s">
        <v>117</v>
      </c>
      <c r="R46" s="68" t="s">
        <v>23</v>
      </c>
      <c r="V46" s="72" t="s">
        <v>24</v>
      </c>
      <c r="AD46" s="53" t="s">
        <v>24</v>
      </c>
      <c r="AH46" s="68" t="s">
        <v>24</v>
      </c>
      <c r="AI46" s="62"/>
      <c r="AJ46" s="31"/>
      <c r="AK46" s="31"/>
      <c r="AL46" s="72" t="s">
        <v>24</v>
      </c>
      <c r="AM46" s="62"/>
      <c r="AN46" s="31"/>
      <c r="AO46" s="31"/>
      <c r="AP46" s="31"/>
      <c r="AQ46" s="62"/>
      <c r="AR46" s="31"/>
      <c r="AS46" s="31"/>
      <c r="AT46" s="53" t="s">
        <v>24</v>
      </c>
      <c r="AX46" s="68" t="s">
        <v>24</v>
      </c>
      <c r="AY46" s="62"/>
      <c r="AZ46" s="31"/>
      <c r="BA46" s="31"/>
      <c r="BB46" s="72" t="s">
        <v>24</v>
      </c>
      <c r="BC46" s="62"/>
      <c r="BD46" s="31"/>
      <c r="BE46" s="31"/>
      <c r="BF46" s="31"/>
      <c r="BG46" s="62"/>
      <c r="BH46" s="31"/>
      <c r="BI46" s="31"/>
      <c r="BJ46" s="53" t="s">
        <v>24</v>
      </c>
      <c r="BN46" s="68" t="s">
        <v>24</v>
      </c>
    </row>
    <row r="47" spans="2:66" x14ac:dyDescent="0.35">
      <c r="B47" t="s">
        <v>118</v>
      </c>
      <c r="C47" s="11">
        <v>4</v>
      </c>
      <c r="D47" s="1">
        <f t="shared" si="11"/>
        <v>7</v>
      </c>
      <c r="E47" t="s">
        <v>119</v>
      </c>
      <c r="F47" t="s">
        <v>120</v>
      </c>
      <c r="R47" s="68" t="s">
        <v>23</v>
      </c>
      <c r="Z47" s="54" t="s">
        <v>24</v>
      </c>
      <c r="AH47" s="68" t="s">
        <v>24</v>
      </c>
      <c r="AI47" s="62"/>
      <c r="AJ47" s="31"/>
      <c r="AK47" s="31"/>
      <c r="AL47" s="31"/>
      <c r="AM47" s="62"/>
      <c r="AN47" s="31"/>
      <c r="AO47" s="31"/>
      <c r="AP47" s="54" t="s">
        <v>24</v>
      </c>
      <c r="AQ47" s="62"/>
      <c r="AR47" s="31"/>
      <c r="AS47" s="31"/>
      <c r="AT47" s="31"/>
      <c r="AX47" s="68" t="s">
        <v>24</v>
      </c>
      <c r="AY47" s="62"/>
      <c r="AZ47" s="31"/>
      <c r="BA47" s="31"/>
      <c r="BB47" s="31"/>
      <c r="BC47" s="62"/>
      <c r="BD47" s="31"/>
      <c r="BE47" s="31"/>
      <c r="BF47" s="54" t="s">
        <v>24</v>
      </c>
      <c r="BG47" s="62"/>
      <c r="BH47" s="31"/>
      <c r="BI47" s="31"/>
      <c r="BJ47" s="31"/>
      <c r="BN47" s="68" t="s">
        <v>24</v>
      </c>
    </row>
    <row r="48" spans="2:66" x14ac:dyDescent="0.35">
      <c r="B48" t="s">
        <v>121</v>
      </c>
      <c r="C48" s="11">
        <v>4</v>
      </c>
      <c r="D48" s="1">
        <f t="shared" si="11"/>
        <v>7</v>
      </c>
      <c r="E48" t="s">
        <v>122</v>
      </c>
      <c r="F48" t="s">
        <v>123</v>
      </c>
      <c r="R48" s="68" t="s">
        <v>23</v>
      </c>
      <c r="Z48" s="54" t="s">
        <v>24</v>
      </c>
      <c r="AH48" s="68" t="s">
        <v>24</v>
      </c>
      <c r="AI48" s="62"/>
      <c r="AJ48" s="31"/>
      <c r="AK48" s="31"/>
      <c r="AL48" s="31"/>
      <c r="AM48" s="62"/>
      <c r="AN48" s="31"/>
      <c r="AO48" s="31"/>
      <c r="AP48" s="54" t="s">
        <v>24</v>
      </c>
      <c r="AQ48" s="62"/>
      <c r="AR48" s="31"/>
      <c r="AS48" s="31"/>
      <c r="AT48" s="31"/>
      <c r="AX48" s="68" t="s">
        <v>24</v>
      </c>
      <c r="AY48" s="62"/>
      <c r="AZ48" s="31"/>
      <c r="BA48" s="31"/>
      <c r="BB48" s="31"/>
      <c r="BC48" s="62"/>
      <c r="BD48" s="31"/>
      <c r="BE48" s="31"/>
      <c r="BF48" s="54" t="s">
        <v>24</v>
      </c>
      <c r="BG48" s="62"/>
      <c r="BH48" s="31"/>
      <c r="BI48" s="31"/>
      <c r="BJ48" s="31"/>
      <c r="BN48" s="68" t="s">
        <v>24</v>
      </c>
    </row>
    <row r="49" spans="1:66" x14ac:dyDescent="0.35">
      <c r="B49" s="2" t="s">
        <v>797</v>
      </c>
      <c r="C49" s="28">
        <v>4</v>
      </c>
      <c r="D49" s="5">
        <f t="shared" si="11"/>
        <v>1</v>
      </c>
      <c r="E49" s="2" t="s">
        <v>805</v>
      </c>
      <c r="F49" s="2" t="s">
        <v>806</v>
      </c>
      <c r="S49" s="104" t="s">
        <v>23</v>
      </c>
      <c r="AI49" s="62"/>
      <c r="AJ49" s="31"/>
      <c r="AK49" s="31"/>
      <c r="AL49" s="31"/>
      <c r="AM49" s="62"/>
      <c r="AN49" s="31"/>
      <c r="AO49" s="31"/>
      <c r="AP49" s="31"/>
      <c r="AQ49" s="62"/>
      <c r="AR49" s="31"/>
      <c r="AS49" s="31"/>
      <c r="AT49" s="31"/>
      <c r="AY49" s="62"/>
      <c r="AZ49" s="31"/>
      <c r="BA49" s="31"/>
      <c r="BB49" s="31"/>
      <c r="BC49" s="62"/>
      <c r="BD49" s="31"/>
      <c r="BE49" s="31"/>
      <c r="BF49" s="31"/>
      <c r="BG49" s="62"/>
      <c r="BH49" s="31"/>
      <c r="BI49" s="31"/>
      <c r="BJ49" s="31"/>
    </row>
    <row r="50" spans="1:66" x14ac:dyDescent="0.35">
      <c r="B50" t="s">
        <v>133</v>
      </c>
      <c r="C50" s="11">
        <v>6</v>
      </c>
      <c r="D50" s="1">
        <f t="shared" si="11"/>
        <v>9</v>
      </c>
      <c r="E50" t="s">
        <v>134</v>
      </c>
      <c r="F50" t="s">
        <v>135</v>
      </c>
      <c r="S50" s="71" t="s">
        <v>23</v>
      </c>
      <c r="T50" s="110" t="s">
        <v>24</v>
      </c>
      <c r="AB50" s="102" t="s">
        <v>24</v>
      </c>
      <c r="AI50" s="71" t="s">
        <v>24</v>
      </c>
      <c r="AJ50" s="110" t="s">
        <v>24</v>
      </c>
      <c r="AK50" s="31"/>
      <c r="AL50" s="31"/>
      <c r="AM50" s="62"/>
      <c r="AN50" s="31"/>
      <c r="AO50" s="31"/>
      <c r="AP50" s="31"/>
      <c r="AQ50" s="62"/>
      <c r="AR50" s="102" t="s">
        <v>24</v>
      </c>
      <c r="AS50" s="31"/>
      <c r="AT50" s="31"/>
      <c r="AY50" s="71" t="s">
        <v>24</v>
      </c>
      <c r="AZ50" s="110" t="s">
        <v>24</v>
      </c>
      <c r="BA50" s="31"/>
      <c r="BB50" s="31"/>
      <c r="BC50" s="62"/>
      <c r="BD50" s="31"/>
      <c r="BE50" s="31"/>
      <c r="BF50" s="31"/>
      <c r="BG50" s="62"/>
      <c r="BH50" s="102" t="s">
        <v>24</v>
      </c>
      <c r="BI50" s="31"/>
      <c r="BJ50" s="31"/>
    </row>
    <row r="51" spans="1:66" x14ac:dyDescent="0.35">
      <c r="B51" t="s">
        <v>136</v>
      </c>
      <c r="C51" s="11">
        <v>6</v>
      </c>
      <c r="D51" s="1">
        <f t="shared" si="11"/>
        <v>27</v>
      </c>
      <c r="E51" t="s">
        <v>137</v>
      </c>
      <c r="F51" t="s">
        <v>138</v>
      </c>
      <c r="R51" s="37"/>
      <c r="S51" s="71" t="s">
        <v>23</v>
      </c>
      <c r="T51" s="110" t="s">
        <v>24</v>
      </c>
      <c r="U51" s="113" t="s">
        <v>24</v>
      </c>
      <c r="W51" s="40" t="s">
        <v>24</v>
      </c>
      <c r="X51" s="41" t="s">
        <v>24</v>
      </c>
      <c r="Y51" s="93" t="s">
        <v>24</v>
      </c>
      <c r="AA51" s="95" t="s">
        <v>24</v>
      </c>
      <c r="AB51" s="102" t="s">
        <v>24</v>
      </c>
      <c r="AC51" s="99" t="s">
        <v>24</v>
      </c>
      <c r="AH51" s="37"/>
      <c r="AI51" s="71" t="s">
        <v>24</v>
      </c>
      <c r="AJ51" s="110" t="s">
        <v>24</v>
      </c>
      <c r="AK51" s="113" t="s">
        <v>24</v>
      </c>
      <c r="AL51" s="31"/>
      <c r="AM51" s="40" t="s">
        <v>24</v>
      </c>
      <c r="AN51" s="41" t="s">
        <v>24</v>
      </c>
      <c r="AO51" s="93" t="s">
        <v>24</v>
      </c>
      <c r="AP51" s="31"/>
      <c r="AQ51" s="95" t="s">
        <v>24</v>
      </c>
      <c r="AR51" s="102" t="s">
        <v>24</v>
      </c>
      <c r="AS51" s="99" t="s">
        <v>24</v>
      </c>
      <c r="AT51" s="31"/>
      <c r="AX51" s="37"/>
      <c r="AY51" s="71" t="s">
        <v>24</v>
      </c>
      <c r="AZ51" s="110" t="s">
        <v>24</v>
      </c>
      <c r="BA51" s="113" t="s">
        <v>24</v>
      </c>
      <c r="BB51" s="31"/>
      <c r="BC51" s="40" t="s">
        <v>24</v>
      </c>
      <c r="BD51" s="41" t="s">
        <v>24</v>
      </c>
      <c r="BE51" s="93" t="s">
        <v>24</v>
      </c>
      <c r="BF51" s="31"/>
      <c r="BG51" s="95" t="s">
        <v>24</v>
      </c>
      <c r="BH51" s="102" t="s">
        <v>24</v>
      </c>
      <c r="BI51" s="99" t="s">
        <v>24</v>
      </c>
      <c r="BJ51" s="31"/>
      <c r="BN51" s="37"/>
    </row>
    <row r="52" spans="1:66" x14ac:dyDescent="0.35">
      <c r="B52" t="s">
        <v>139</v>
      </c>
      <c r="C52" s="11">
        <v>6</v>
      </c>
      <c r="D52" s="1">
        <f t="shared" si="11"/>
        <v>27</v>
      </c>
      <c r="E52" t="s">
        <v>140</v>
      </c>
      <c r="F52" t="s">
        <v>141</v>
      </c>
      <c r="S52" s="71" t="s">
        <v>23</v>
      </c>
      <c r="T52" s="110" t="s">
        <v>24</v>
      </c>
      <c r="U52" s="113" t="s">
        <v>24</v>
      </c>
      <c r="W52" s="40" t="s">
        <v>24</v>
      </c>
      <c r="X52" s="41" t="s">
        <v>24</v>
      </c>
      <c r="Y52" s="93" t="s">
        <v>24</v>
      </c>
      <c r="AA52" s="95" t="s">
        <v>24</v>
      </c>
      <c r="AB52" s="102" t="s">
        <v>24</v>
      </c>
      <c r="AC52" s="99" t="s">
        <v>24</v>
      </c>
      <c r="AI52" s="71" t="s">
        <v>24</v>
      </c>
      <c r="AJ52" s="110" t="s">
        <v>24</v>
      </c>
      <c r="AK52" s="113" t="s">
        <v>24</v>
      </c>
      <c r="AL52" s="31"/>
      <c r="AM52" s="40" t="s">
        <v>24</v>
      </c>
      <c r="AN52" s="41" t="s">
        <v>24</v>
      </c>
      <c r="AO52" s="93" t="s">
        <v>24</v>
      </c>
      <c r="AP52" s="31"/>
      <c r="AQ52" s="95" t="s">
        <v>24</v>
      </c>
      <c r="AR52" s="102" t="s">
        <v>24</v>
      </c>
      <c r="AS52" s="99" t="s">
        <v>24</v>
      </c>
      <c r="AT52" s="31"/>
      <c r="AY52" s="71" t="s">
        <v>24</v>
      </c>
      <c r="AZ52" s="110" t="s">
        <v>24</v>
      </c>
      <c r="BA52" s="113" t="s">
        <v>24</v>
      </c>
      <c r="BB52" s="31"/>
      <c r="BC52" s="40" t="s">
        <v>24</v>
      </c>
      <c r="BD52" s="41" t="s">
        <v>24</v>
      </c>
      <c r="BE52" s="93" t="s">
        <v>24</v>
      </c>
      <c r="BF52" s="31"/>
      <c r="BG52" s="95" t="s">
        <v>24</v>
      </c>
      <c r="BH52" s="102" t="s">
        <v>24</v>
      </c>
      <c r="BI52" s="99" t="s">
        <v>24</v>
      </c>
      <c r="BJ52" s="31"/>
    </row>
    <row r="53" spans="1:66" x14ac:dyDescent="0.35">
      <c r="B53" t="s">
        <v>142</v>
      </c>
      <c r="C53" s="11">
        <v>6</v>
      </c>
      <c r="D53" s="1">
        <f t="shared" si="11"/>
        <v>27</v>
      </c>
      <c r="E53" t="s">
        <v>143</v>
      </c>
      <c r="F53" t="s">
        <v>144</v>
      </c>
      <c r="S53" s="71" t="s">
        <v>23</v>
      </c>
      <c r="T53" s="110" t="s">
        <v>24</v>
      </c>
      <c r="U53" s="113" t="s">
        <v>24</v>
      </c>
      <c r="W53" s="40" t="s">
        <v>24</v>
      </c>
      <c r="X53" s="41" t="s">
        <v>24</v>
      </c>
      <c r="Y53" s="93" t="s">
        <v>24</v>
      </c>
      <c r="AA53" s="95" t="s">
        <v>24</v>
      </c>
      <c r="AB53" s="102" t="s">
        <v>24</v>
      </c>
      <c r="AC53" s="99" t="s">
        <v>24</v>
      </c>
      <c r="AI53" s="71" t="s">
        <v>24</v>
      </c>
      <c r="AJ53" s="110" t="s">
        <v>24</v>
      </c>
      <c r="AK53" s="113" t="s">
        <v>24</v>
      </c>
      <c r="AL53" s="31"/>
      <c r="AM53" s="40" t="s">
        <v>24</v>
      </c>
      <c r="AN53" s="41" t="s">
        <v>24</v>
      </c>
      <c r="AO53" s="93" t="s">
        <v>24</v>
      </c>
      <c r="AP53" s="31"/>
      <c r="AQ53" s="95" t="s">
        <v>24</v>
      </c>
      <c r="AR53" s="102" t="s">
        <v>24</v>
      </c>
      <c r="AS53" s="99" t="s">
        <v>24</v>
      </c>
      <c r="AT53" s="31"/>
      <c r="AY53" s="71" t="s">
        <v>24</v>
      </c>
      <c r="AZ53" s="110" t="s">
        <v>24</v>
      </c>
      <c r="BA53" s="113" t="s">
        <v>24</v>
      </c>
      <c r="BB53" s="31"/>
      <c r="BC53" s="40" t="s">
        <v>24</v>
      </c>
      <c r="BD53" s="41" t="s">
        <v>24</v>
      </c>
      <c r="BE53" s="93" t="s">
        <v>24</v>
      </c>
      <c r="BF53" s="31"/>
      <c r="BG53" s="95" t="s">
        <v>24</v>
      </c>
      <c r="BH53" s="102" t="s">
        <v>24</v>
      </c>
      <c r="BI53" s="99" t="s">
        <v>24</v>
      </c>
      <c r="BJ53" s="31"/>
    </row>
    <row r="54" spans="1:66" x14ac:dyDescent="0.35">
      <c r="B54" t="s">
        <v>124</v>
      </c>
      <c r="C54" s="11">
        <v>6</v>
      </c>
      <c r="D54" s="1">
        <f t="shared" si="11"/>
        <v>15</v>
      </c>
      <c r="E54" t="s">
        <v>125</v>
      </c>
      <c r="F54" t="s">
        <v>126</v>
      </c>
      <c r="P54" s="37"/>
      <c r="Q54" s="37"/>
      <c r="T54" s="110" t="s">
        <v>23</v>
      </c>
      <c r="U54" s="113" t="s">
        <v>24</v>
      </c>
      <c r="AA54" s="95" t="s">
        <v>24</v>
      </c>
      <c r="AB54" s="102" t="s">
        <v>24</v>
      </c>
      <c r="AC54" s="99" t="s">
        <v>24</v>
      </c>
      <c r="AF54" s="37"/>
      <c r="AG54" s="37"/>
      <c r="AI54" s="62"/>
      <c r="AJ54" s="110" t="s">
        <v>24</v>
      </c>
      <c r="AK54" s="113" t="s">
        <v>24</v>
      </c>
      <c r="AL54" s="31"/>
      <c r="AM54" s="62"/>
      <c r="AN54" s="31"/>
      <c r="AO54" s="31"/>
      <c r="AP54" s="31"/>
      <c r="AQ54" s="95" t="s">
        <v>24</v>
      </c>
      <c r="AR54" s="102" t="s">
        <v>24</v>
      </c>
      <c r="AS54" s="99" t="s">
        <v>24</v>
      </c>
      <c r="AT54" s="31"/>
      <c r="AV54" s="37"/>
      <c r="AW54" s="37"/>
      <c r="AY54" s="62"/>
      <c r="AZ54" s="110" t="s">
        <v>24</v>
      </c>
      <c r="BA54" s="113" t="s">
        <v>24</v>
      </c>
      <c r="BB54" s="31"/>
      <c r="BC54" s="62"/>
      <c r="BD54" s="31"/>
      <c r="BE54" s="31"/>
      <c r="BF54" s="31"/>
      <c r="BG54" s="95" t="s">
        <v>24</v>
      </c>
      <c r="BH54" s="102" t="s">
        <v>24</v>
      </c>
      <c r="BI54" s="99" t="s">
        <v>24</v>
      </c>
      <c r="BJ54" s="31"/>
      <c r="BL54" s="37"/>
      <c r="BM54" s="37"/>
    </row>
    <row r="55" spans="1:66" x14ac:dyDescent="0.35">
      <c r="B55" t="s">
        <v>127</v>
      </c>
      <c r="C55" s="11">
        <v>6</v>
      </c>
      <c r="D55" s="1">
        <f t="shared" si="11"/>
        <v>18</v>
      </c>
      <c r="E55" t="s">
        <v>128</v>
      </c>
      <c r="F55" t="s">
        <v>129</v>
      </c>
      <c r="P55" s="37"/>
      <c r="Q55" s="37"/>
      <c r="T55" s="110" t="s">
        <v>23</v>
      </c>
      <c r="U55" s="113" t="s">
        <v>24</v>
      </c>
      <c r="W55" s="40" t="s">
        <v>24</v>
      </c>
      <c r="X55" s="41" t="s">
        <v>24</v>
      </c>
      <c r="AA55" s="95" t="s">
        <v>24</v>
      </c>
      <c r="AB55" s="102" t="s">
        <v>24</v>
      </c>
      <c r="AF55" s="37"/>
      <c r="AG55" s="37"/>
      <c r="AI55" s="62"/>
      <c r="AJ55" s="110" t="s">
        <v>24</v>
      </c>
      <c r="AK55" s="113" t="s">
        <v>24</v>
      </c>
      <c r="AL55" s="31"/>
      <c r="AM55" s="40" t="s">
        <v>24</v>
      </c>
      <c r="AN55" s="41" t="s">
        <v>24</v>
      </c>
      <c r="AO55" s="31"/>
      <c r="AP55" s="31"/>
      <c r="AQ55" s="95" t="s">
        <v>24</v>
      </c>
      <c r="AR55" s="102" t="s">
        <v>24</v>
      </c>
      <c r="AS55" s="31"/>
      <c r="AT55" s="31"/>
      <c r="AV55" s="37"/>
      <c r="AW55" s="37"/>
      <c r="AY55" s="62"/>
      <c r="AZ55" s="110" t="s">
        <v>24</v>
      </c>
      <c r="BA55" s="113" t="s">
        <v>24</v>
      </c>
      <c r="BB55" s="31"/>
      <c r="BC55" s="40" t="s">
        <v>24</v>
      </c>
      <c r="BD55" s="41" t="s">
        <v>24</v>
      </c>
      <c r="BE55" s="31"/>
      <c r="BF55" s="31"/>
      <c r="BG55" s="95" t="s">
        <v>24</v>
      </c>
      <c r="BH55" s="102" t="s">
        <v>24</v>
      </c>
      <c r="BI55" s="31"/>
      <c r="BJ55" s="31"/>
      <c r="BL55" s="37"/>
      <c r="BM55" s="37"/>
    </row>
    <row r="56" spans="1:66" x14ac:dyDescent="0.35">
      <c r="B56" t="s">
        <v>130</v>
      </c>
      <c r="C56" s="11">
        <v>6</v>
      </c>
      <c r="D56" s="1">
        <f t="shared" si="11"/>
        <v>18</v>
      </c>
      <c r="E56" t="s">
        <v>131</v>
      </c>
      <c r="F56" t="s">
        <v>132</v>
      </c>
      <c r="P56" s="37"/>
      <c r="Q56" s="37"/>
      <c r="T56" s="110" t="s">
        <v>23</v>
      </c>
      <c r="U56" s="113" t="s">
        <v>24</v>
      </c>
      <c r="W56" s="40" t="s">
        <v>24</v>
      </c>
      <c r="X56" s="41" t="s">
        <v>24</v>
      </c>
      <c r="AA56" s="95" t="s">
        <v>24</v>
      </c>
      <c r="AB56" s="102" t="s">
        <v>24</v>
      </c>
      <c r="AF56" s="37"/>
      <c r="AG56" s="37"/>
      <c r="AI56" s="62"/>
      <c r="AJ56" s="110" t="s">
        <v>24</v>
      </c>
      <c r="AK56" s="113" t="s">
        <v>24</v>
      </c>
      <c r="AL56" s="31"/>
      <c r="AM56" s="40" t="s">
        <v>24</v>
      </c>
      <c r="AN56" s="41" t="s">
        <v>24</v>
      </c>
      <c r="AO56" s="31"/>
      <c r="AP56" s="31"/>
      <c r="AQ56" s="95" t="s">
        <v>24</v>
      </c>
      <c r="AR56" s="102" t="s">
        <v>24</v>
      </c>
      <c r="AS56" s="31"/>
      <c r="AT56" s="31"/>
      <c r="AV56" s="37"/>
      <c r="AW56" s="37"/>
      <c r="AY56" s="62"/>
      <c r="AZ56" s="110" t="s">
        <v>24</v>
      </c>
      <c r="BA56" s="113" t="s">
        <v>24</v>
      </c>
      <c r="BB56" s="31"/>
      <c r="BC56" s="40" t="s">
        <v>24</v>
      </c>
      <c r="BD56" s="41" t="s">
        <v>24</v>
      </c>
      <c r="BE56" s="31"/>
      <c r="BF56" s="31"/>
      <c r="BG56" s="95" t="s">
        <v>24</v>
      </c>
      <c r="BH56" s="102" t="s">
        <v>24</v>
      </c>
      <c r="BI56" s="31"/>
      <c r="BJ56" s="31"/>
      <c r="BL56" s="37"/>
      <c r="BM56" s="37"/>
    </row>
    <row r="57" spans="1:66" x14ac:dyDescent="0.35">
      <c r="B57" t="s">
        <v>145</v>
      </c>
      <c r="C57" s="11">
        <v>6</v>
      </c>
      <c r="D57" s="1">
        <f t="shared" si="11"/>
        <v>9</v>
      </c>
      <c r="E57" t="s">
        <v>146</v>
      </c>
      <c r="F57" t="s">
        <v>147</v>
      </c>
      <c r="O57" s="48"/>
      <c r="P57" s="37"/>
      <c r="Q57" s="37"/>
      <c r="U57" s="113" t="s">
        <v>23</v>
      </c>
      <c r="V57" s="72" t="s">
        <v>24</v>
      </c>
      <c r="Y57" s="93" t="s">
        <v>24</v>
      </c>
      <c r="AB57" s="36"/>
      <c r="AC57" s="36"/>
      <c r="AD57" s="36"/>
      <c r="AE57" s="48"/>
      <c r="AF57" s="37"/>
      <c r="AG57" s="37"/>
      <c r="AI57" s="62"/>
      <c r="AJ57" s="31"/>
      <c r="AK57" s="113" t="s">
        <v>24</v>
      </c>
      <c r="AL57" s="72" t="s">
        <v>24</v>
      </c>
      <c r="AM57" s="62"/>
      <c r="AN57" s="31"/>
      <c r="AO57" s="93" t="s">
        <v>24</v>
      </c>
      <c r="AP57" s="31"/>
      <c r="AQ57" s="62"/>
      <c r="AR57" s="36"/>
      <c r="AS57" s="36"/>
      <c r="AT57" s="36"/>
      <c r="AU57" s="48"/>
      <c r="AV57" s="37"/>
      <c r="AW57" s="37"/>
      <c r="AY57" s="62"/>
      <c r="AZ57" s="31"/>
      <c r="BA57" s="113" t="s">
        <v>24</v>
      </c>
      <c r="BB57" s="72" t="s">
        <v>24</v>
      </c>
      <c r="BC57" s="62"/>
      <c r="BD57" s="31"/>
      <c r="BE57" s="93" t="s">
        <v>24</v>
      </c>
      <c r="BF57" s="31"/>
      <c r="BG57" s="62"/>
      <c r="BH57" s="36"/>
      <c r="BI57" s="36"/>
      <c r="BJ57" s="36"/>
      <c r="BK57" s="48"/>
      <c r="BL57" s="37"/>
      <c r="BM57" s="37"/>
    </row>
    <row r="58" spans="1:66" s="8" customFormat="1" ht="6.75" customHeight="1" x14ac:dyDescent="0.35">
      <c r="B58" s="9"/>
      <c r="C58" s="17"/>
      <c r="D58" s="9"/>
      <c r="E58" s="9"/>
      <c r="F58" s="9"/>
      <c r="G58" s="49"/>
      <c r="H58" s="32"/>
      <c r="I58" s="32"/>
      <c r="J58" s="32"/>
      <c r="K58" s="49"/>
      <c r="L58" s="32"/>
      <c r="M58" s="32"/>
      <c r="N58" s="32"/>
      <c r="O58" s="49"/>
      <c r="P58" s="32"/>
      <c r="Q58" s="32"/>
      <c r="R58" s="32"/>
      <c r="S58" s="66"/>
      <c r="T58" s="33"/>
      <c r="U58" s="33"/>
      <c r="V58" s="33"/>
      <c r="W58" s="49"/>
      <c r="X58" s="32"/>
      <c r="Y58" s="32"/>
      <c r="Z58" s="32"/>
      <c r="AA58" s="49"/>
      <c r="AB58" s="32"/>
      <c r="AC58" s="32"/>
      <c r="AD58" s="32"/>
      <c r="AE58" s="49"/>
      <c r="AF58" s="32"/>
      <c r="AG58" s="32"/>
      <c r="AH58" s="32"/>
      <c r="AI58" s="82"/>
      <c r="AL58" s="83"/>
      <c r="AU58" s="49"/>
      <c r="AV58" s="32"/>
      <c r="AW58" s="32"/>
      <c r="AX58" s="32"/>
      <c r="AY58" s="82"/>
      <c r="BB58" s="83"/>
      <c r="BK58" s="49"/>
      <c r="BL58" s="32"/>
      <c r="BM58" s="32"/>
      <c r="BN58" s="32"/>
    </row>
    <row r="59" spans="1:66" ht="15" customHeight="1" x14ac:dyDescent="0.35">
      <c r="A59" s="114" t="s">
        <v>148</v>
      </c>
      <c r="B59" s="2" t="s">
        <v>798</v>
      </c>
      <c r="C59" s="28">
        <v>4</v>
      </c>
      <c r="D59" s="5">
        <f t="shared" ref="D59:D106" si="12">COUNTIF(G59:AAN59,"✅")+COUNTIF(G59:AAN59,"✔️")</f>
        <v>1</v>
      </c>
      <c r="E59" s="2" t="s">
        <v>807</v>
      </c>
      <c r="F59" s="2" t="s">
        <v>808</v>
      </c>
      <c r="W59" s="105" t="s">
        <v>23</v>
      </c>
      <c r="AI59" s="62"/>
      <c r="AJ59" s="31"/>
      <c r="AK59" s="31"/>
      <c r="AL59" s="63"/>
      <c r="AM59" s="62"/>
      <c r="AN59" s="31"/>
      <c r="AO59" s="31"/>
      <c r="AP59" s="31"/>
      <c r="AQ59" s="62"/>
      <c r="AR59" s="31"/>
      <c r="AS59" s="31"/>
      <c r="AT59" s="63"/>
      <c r="AY59" s="62"/>
      <c r="AZ59" s="31"/>
      <c r="BA59" s="31"/>
      <c r="BB59" s="63"/>
      <c r="BC59" s="62"/>
      <c r="BD59" s="31"/>
      <c r="BE59" s="31"/>
      <c r="BF59" s="31"/>
      <c r="BG59" s="62"/>
      <c r="BH59" s="31"/>
      <c r="BI59" s="31"/>
      <c r="BJ59" s="63"/>
    </row>
    <row r="60" spans="1:66" x14ac:dyDescent="0.35">
      <c r="A60" s="114"/>
      <c r="B60" t="s">
        <v>149</v>
      </c>
      <c r="C60" s="11">
        <v>1</v>
      </c>
      <c r="D60" s="1">
        <f t="shared" si="12"/>
        <v>22</v>
      </c>
      <c r="E60" t="s">
        <v>150</v>
      </c>
      <c r="F60" t="s">
        <v>151</v>
      </c>
      <c r="W60" s="40" t="s">
        <v>23</v>
      </c>
      <c r="X60" s="41" t="s">
        <v>24</v>
      </c>
      <c r="AA60" s="95" t="s">
        <v>24</v>
      </c>
      <c r="AB60" s="102" t="s">
        <v>24</v>
      </c>
      <c r="AE60" s="76" t="s">
        <v>24</v>
      </c>
      <c r="AF60" s="75" t="s">
        <v>24</v>
      </c>
      <c r="AI60" s="80" t="s">
        <v>24</v>
      </c>
      <c r="AJ60" s="30" t="s">
        <v>24</v>
      </c>
      <c r="AK60" s="31"/>
      <c r="AL60" s="63"/>
      <c r="AM60" s="76" t="s">
        <v>24</v>
      </c>
      <c r="AN60" s="75" t="s">
        <v>24</v>
      </c>
      <c r="AO60" s="31"/>
      <c r="AP60" s="31"/>
      <c r="AQ60" s="80" t="s">
        <v>24</v>
      </c>
      <c r="AR60" s="30" t="s">
        <v>24</v>
      </c>
      <c r="AS60" s="31"/>
      <c r="AT60" s="63"/>
      <c r="AU60" s="76" t="s">
        <v>24</v>
      </c>
      <c r="AV60" s="75" t="s">
        <v>24</v>
      </c>
      <c r="AY60" s="80" t="s">
        <v>24</v>
      </c>
      <c r="AZ60" s="30" t="s">
        <v>24</v>
      </c>
      <c r="BA60" s="31"/>
      <c r="BB60" s="63"/>
      <c r="BC60" s="76" t="s">
        <v>24</v>
      </c>
      <c r="BD60" s="75" t="s">
        <v>24</v>
      </c>
      <c r="BE60" s="31"/>
      <c r="BF60" s="31"/>
      <c r="BG60" s="80" t="s">
        <v>24</v>
      </c>
      <c r="BH60" s="30" t="s">
        <v>24</v>
      </c>
      <c r="BI60" s="31"/>
      <c r="BJ60" s="63"/>
      <c r="BK60" s="76" t="s">
        <v>24</v>
      </c>
      <c r="BL60" s="75" t="s">
        <v>24</v>
      </c>
    </row>
    <row r="61" spans="1:66" x14ac:dyDescent="0.35">
      <c r="A61" s="114"/>
      <c r="B61" t="s">
        <v>152</v>
      </c>
      <c r="C61" s="11">
        <v>1</v>
      </c>
      <c r="D61" s="1">
        <f t="shared" si="12"/>
        <v>22</v>
      </c>
      <c r="E61" t="s">
        <v>153</v>
      </c>
      <c r="F61" t="s">
        <v>154</v>
      </c>
      <c r="W61" s="40" t="s">
        <v>23</v>
      </c>
      <c r="X61" s="41" t="s">
        <v>24</v>
      </c>
      <c r="AA61" s="95" t="s">
        <v>24</v>
      </c>
      <c r="AB61" s="102" t="s">
        <v>24</v>
      </c>
      <c r="AE61" s="76" t="s">
        <v>24</v>
      </c>
      <c r="AF61" s="75" t="s">
        <v>24</v>
      </c>
      <c r="AI61" s="80" t="s">
        <v>24</v>
      </c>
      <c r="AJ61" s="30" t="s">
        <v>24</v>
      </c>
      <c r="AK61" s="31"/>
      <c r="AL61" s="63"/>
      <c r="AM61" s="76" t="s">
        <v>24</v>
      </c>
      <c r="AN61" s="75" t="s">
        <v>24</v>
      </c>
      <c r="AO61" s="31"/>
      <c r="AP61" s="31"/>
      <c r="AQ61" s="80" t="s">
        <v>24</v>
      </c>
      <c r="AR61" s="30" t="s">
        <v>24</v>
      </c>
      <c r="AS61" s="31"/>
      <c r="AT61" s="63"/>
      <c r="AU61" s="76" t="s">
        <v>24</v>
      </c>
      <c r="AV61" s="75" t="s">
        <v>24</v>
      </c>
      <c r="AY61" s="80" t="s">
        <v>24</v>
      </c>
      <c r="AZ61" s="30" t="s">
        <v>24</v>
      </c>
      <c r="BA61" s="31"/>
      <c r="BB61" s="63"/>
      <c r="BC61" s="76" t="s">
        <v>24</v>
      </c>
      <c r="BD61" s="75" t="s">
        <v>24</v>
      </c>
      <c r="BE61" s="31"/>
      <c r="BF61" s="31"/>
      <c r="BG61" s="80" t="s">
        <v>24</v>
      </c>
      <c r="BH61" s="30" t="s">
        <v>24</v>
      </c>
      <c r="BI61" s="31"/>
      <c r="BJ61" s="63"/>
      <c r="BK61" s="76" t="s">
        <v>24</v>
      </c>
      <c r="BL61" s="75" t="s">
        <v>24</v>
      </c>
    </row>
    <row r="62" spans="1:66" x14ac:dyDescent="0.35">
      <c r="A62" s="114"/>
      <c r="B62" t="s">
        <v>155</v>
      </c>
      <c r="C62" s="11">
        <v>1</v>
      </c>
      <c r="D62" s="1">
        <f t="shared" si="12"/>
        <v>22</v>
      </c>
      <c r="E62" t="s">
        <v>156</v>
      </c>
      <c r="F62" t="s">
        <v>157</v>
      </c>
      <c r="W62" s="40" t="s">
        <v>23</v>
      </c>
      <c r="X62" s="41" t="s">
        <v>24</v>
      </c>
      <c r="AA62" s="95" t="s">
        <v>24</v>
      </c>
      <c r="AB62" s="102" t="s">
        <v>24</v>
      </c>
      <c r="AE62" s="76" t="s">
        <v>24</v>
      </c>
      <c r="AF62" s="75" t="s">
        <v>24</v>
      </c>
      <c r="AI62" s="80" t="s">
        <v>24</v>
      </c>
      <c r="AJ62" s="30" t="s">
        <v>24</v>
      </c>
      <c r="AK62" s="31"/>
      <c r="AL62" s="63"/>
      <c r="AM62" s="76" t="s">
        <v>24</v>
      </c>
      <c r="AN62" s="75" t="s">
        <v>24</v>
      </c>
      <c r="AO62" s="31"/>
      <c r="AP62" s="31"/>
      <c r="AQ62" s="80" t="s">
        <v>24</v>
      </c>
      <c r="AR62" s="30" t="s">
        <v>24</v>
      </c>
      <c r="AS62" s="31"/>
      <c r="AT62" s="63"/>
      <c r="AU62" s="76" t="s">
        <v>24</v>
      </c>
      <c r="AV62" s="75" t="s">
        <v>24</v>
      </c>
      <c r="AY62" s="80" t="s">
        <v>24</v>
      </c>
      <c r="AZ62" s="30" t="s">
        <v>24</v>
      </c>
      <c r="BA62" s="31"/>
      <c r="BB62" s="63"/>
      <c r="BC62" s="76" t="s">
        <v>24</v>
      </c>
      <c r="BD62" s="75" t="s">
        <v>24</v>
      </c>
      <c r="BE62" s="31"/>
      <c r="BF62" s="31"/>
      <c r="BG62" s="80" t="s">
        <v>24</v>
      </c>
      <c r="BH62" s="30" t="s">
        <v>24</v>
      </c>
      <c r="BI62" s="31"/>
      <c r="BJ62" s="63"/>
      <c r="BK62" s="76" t="s">
        <v>24</v>
      </c>
      <c r="BL62" s="75" t="s">
        <v>24</v>
      </c>
    </row>
    <row r="63" spans="1:66" x14ac:dyDescent="0.35">
      <c r="A63" s="114"/>
      <c r="B63" t="s">
        <v>158</v>
      </c>
      <c r="C63" s="11">
        <v>1</v>
      </c>
      <c r="D63" s="1">
        <f t="shared" si="12"/>
        <v>22</v>
      </c>
      <c r="E63" t="s">
        <v>159</v>
      </c>
      <c r="F63" t="s">
        <v>160</v>
      </c>
      <c r="W63" s="40" t="s">
        <v>23</v>
      </c>
      <c r="X63" s="41" t="s">
        <v>24</v>
      </c>
      <c r="AA63" s="95" t="s">
        <v>24</v>
      </c>
      <c r="AB63" s="102" t="s">
        <v>24</v>
      </c>
      <c r="AE63" s="76" t="s">
        <v>24</v>
      </c>
      <c r="AF63" s="75" t="s">
        <v>24</v>
      </c>
      <c r="AI63" s="80" t="s">
        <v>24</v>
      </c>
      <c r="AJ63" s="30" t="s">
        <v>24</v>
      </c>
      <c r="AK63" s="31"/>
      <c r="AL63" s="63"/>
      <c r="AM63" s="76" t="s">
        <v>24</v>
      </c>
      <c r="AN63" s="75" t="s">
        <v>24</v>
      </c>
      <c r="AO63" s="31"/>
      <c r="AP63" s="31"/>
      <c r="AQ63" s="80" t="s">
        <v>24</v>
      </c>
      <c r="AR63" s="30" t="s">
        <v>24</v>
      </c>
      <c r="AS63" s="31"/>
      <c r="AT63" s="63"/>
      <c r="AU63" s="76" t="s">
        <v>24</v>
      </c>
      <c r="AV63" s="75" t="s">
        <v>24</v>
      </c>
      <c r="AY63" s="80" t="s">
        <v>24</v>
      </c>
      <c r="AZ63" s="30" t="s">
        <v>24</v>
      </c>
      <c r="BA63" s="31"/>
      <c r="BB63" s="63"/>
      <c r="BC63" s="76" t="s">
        <v>24</v>
      </c>
      <c r="BD63" s="75" t="s">
        <v>24</v>
      </c>
      <c r="BE63" s="31"/>
      <c r="BF63" s="31"/>
      <c r="BG63" s="80" t="s">
        <v>24</v>
      </c>
      <c r="BH63" s="30" t="s">
        <v>24</v>
      </c>
      <c r="BI63" s="31"/>
      <c r="BJ63" s="63"/>
      <c r="BK63" s="76" t="s">
        <v>24</v>
      </c>
      <c r="BL63" s="75" t="s">
        <v>24</v>
      </c>
    </row>
    <row r="64" spans="1:66" x14ac:dyDescent="0.35">
      <c r="A64" s="114"/>
      <c r="B64" t="s">
        <v>161</v>
      </c>
      <c r="C64" s="11">
        <v>1</v>
      </c>
      <c r="D64" s="1">
        <f t="shared" si="12"/>
        <v>22</v>
      </c>
      <c r="E64" t="s">
        <v>162</v>
      </c>
      <c r="F64" t="s">
        <v>163</v>
      </c>
      <c r="W64" s="40" t="s">
        <v>23</v>
      </c>
      <c r="X64" s="41" t="s">
        <v>24</v>
      </c>
      <c r="AA64" s="95" t="s">
        <v>24</v>
      </c>
      <c r="AB64" s="102" t="s">
        <v>24</v>
      </c>
      <c r="AE64" s="76" t="s">
        <v>24</v>
      </c>
      <c r="AF64" s="75" t="s">
        <v>24</v>
      </c>
      <c r="AI64" s="80" t="s">
        <v>24</v>
      </c>
      <c r="AJ64" s="30" t="s">
        <v>24</v>
      </c>
      <c r="AK64" s="31"/>
      <c r="AL64" s="63"/>
      <c r="AM64" s="76" t="s">
        <v>24</v>
      </c>
      <c r="AN64" s="75" t="s">
        <v>24</v>
      </c>
      <c r="AO64" s="31"/>
      <c r="AP64" s="31"/>
      <c r="AQ64" s="80" t="s">
        <v>24</v>
      </c>
      <c r="AR64" s="30" t="s">
        <v>24</v>
      </c>
      <c r="AS64" s="31"/>
      <c r="AT64" s="63"/>
      <c r="AU64" s="76" t="s">
        <v>24</v>
      </c>
      <c r="AV64" s="75" t="s">
        <v>24</v>
      </c>
      <c r="AY64" s="80" t="s">
        <v>24</v>
      </c>
      <c r="AZ64" s="30" t="s">
        <v>24</v>
      </c>
      <c r="BA64" s="31"/>
      <c r="BB64" s="63"/>
      <c r="BC64" s="76" t="s">
        <v>24</v>
      </c>
      <c r="BD64" s="75" t="s">
        <v>24</v>
      </c>
      <c r="BE64" s="31"/>
      <c r="BF64" s="31"/>
      <c r="BG64" s="80" t="s">
        <v>24</v>
      </c>
      <c r="BH64" s="30" t="s">
        <v>24</v>
      </c>
      <c r="BI64" s="31"/>
      <c r="BJ64" s="63"/>
      <c r="BK64" s="76" t="s">
        <v>24</v>
      </c>
      <c r="BL64" s="75" t="s">
        <v>24</v>
      </c>
    </row>
    <row r="65" spans="1:66" x14ac:dyDescent="0.35">
      <c r="A65" s="114"/>
      <c r="B65" t="s">
        <v>164</v>
      </c>
      <c r="C65" s="11">
        <v>1</v>
      </c>
      <c r="D65" s="1">
        <f t="shared" si="12"/>
        <v>22</v>
      </c>
      <c r="E65" t="s">
        <v>165</v>
      </c>
      <c r="F65" t="s">
        <v>166</v>
      </c>
      <c r="W65" s="40" t="s">
        <v>23</v>
      </c>
      <c r="X65" s="41" t="s">
        <v>24</v>
      </c>
      <c r="AA65" s="95" t="s">
        <v>24</v>
      </c>
      <c r="AB65" s="102" t="s">
        <v>24</v>
      </c>
      <c r="AE65" s="76" t="s">
        <v>24</v>
      </c>
      <c r="AF65" s="75" t="s">
        <v>24</v>
      </c>
      <c r="AI65" s="80" t="s">
        <v>24</v>
      </c>
      <c r="AJ65" s="30" t="s">
        <v>24</v>
      </c>
      <c r="AK65" s="31"/>
      <c r="AL65" s="63"/>
      <c r="AM65" s="76" t="s">
        <v>24</v>
      </c>
      <c r="AN65" s="75" t="s">
        <v>24</v>
      </c>
      <c r="AO65" s="31"/>
      <c r="AP65" s="31"/>
      <c r="AQ65" s="80" t="s">
        <v>24</v>
      </c>
      <c r="AR65" s="30" t="s">
        <v>24</v>
      </c>
      <c r="AS65" s="31"/>
      <c r="AT65" s="63"/>
      <c r="AU65" s="76" t="s">
        <v>24</v>
      </c>
      <c r="AV65" s="75" t="s">
        <v>24</v>
      </c>
      <c r="AY65" s="80" t="s">
        <v>24</v>
      </c>
      <c r="AZ65" s="30" t="s">
        <v>24</v>
      </c>
      <c r="BA65" s="31"/>
      <c r="BB65" s="63"/>
      <c r="BC65" s="76" t="s">
        <v>24</v>
      </c>
      <c r="BD65" s="75" t="s">
        <v>24</v>
      </c>
      <c r="BE65" s="31"/>
      <c r="BF65" s="31"/>
      <c r="BG65" s="80" t="s">
        <v>24</v>
      </c>
      <c r="BH65" s="30" t="s">
        <v>24</v>
      </c>
      <c r="BI65" s="31"/>
      <c r="BJ65" s="63"/>
      <c r="BK65" s="76" t="s">
        <v>24</v>
      </c>
      <c r="BL65" s="75" t="s">
        <v>24</v>
      </c>
    </row>
    <row r="66" spans="1:66" x14ac:dyDescent="0.35">
      <c r="A66" s="114"/>
      <c r="B66" t="s">
        <v>176</v>
      </c>
      <c r="C66" s="11">
        <v>4</v>
      </c>
      <c r="D66" s="1">
        <f t="shared" si="12"/>
        <v>9</v>
      </c>
      <c r="E66" t="s">
        <v>177</v>
      </c>
      <c r="F66" t="s">
        <v>178</v>
      </c>
      <c r="W66" s="40" t="s">
        <v>23</v>
      </c>
      <c r="X66" s="41" t="s">
        <v>24</v>
      </c>
      <c r="Y66" s="93" t="s">
        <v>24</v>
      </c>
      <c r="AB66" s="102" t="s">
        <v>24</v>
      </c>
      <c r="AC66" s="99" t="s">
        <v>24</v>
      </c>
      <c r="AE66" s="51"/>
      <c r="AJ66" s="31"/>
      <c r="AK66" s="31"/>
      <c r="AL66" s="63"/>
      <c r="AM66" s="76" t="s">
        <v>24</v>
      </c>
      <c r="AN66" s="75" t="s">
        <v>24</v>
      </c>
      <c r="AO66" s="31"/>
      <c r="AP66" s="31"/>
      <c r="AQ66" s="51"/>
      <c r="AR66" s="31"/>
      <c r="AS66" s="31"/>
      <c r="AT66" s="63"/>
      <c r="AU66" s="51"/>
      <c r="AZ66" s="31"/>
      <c r="BA66" s="31"/>
      <c r="BB66" s="63"/>
      <c r="BC66" s="76" t="s">
        <v>24</v>
      </c>
      <c r="BD66" s="75" t="s">
        <v>24</v>
      </c>
      <c r="BE66" s="31"/>
      <c r="BF66" s="31"/>
      <c r="BG66" s="51"/>
      <c r="BH66" s="31"/>
      <c r="BI66" s="31"/>
      <c r="BJ66" s="63"/>
      <c r="BK66" s="51"/>
    </row>
    <row r="67" spans="1:66" x14ac:dyDescent="0.35">
      <c r="A67" s="114"/>
      <c r="B67" t="s">
        <v>173</v>
      </c>
      <c r="C67" s="11">
        <v>4</v>
      </c>
      <c r="D67" s="1">
        <f t="shared" si="12"/>
        <v>13</v>
      </c>
      <c r="E67" t="s">
        <v>174</v>
      </c>
      <c r="F67" t="s">
        <v>175</v>
      </c>
      <c r="X67" s="41" t="s">
        <v>23</v>
      </c>
      <c r="Y67" s="93" t="s">
        <v>24</v>
      </c>
      <c r="AA67" s="95" t="s">
        <v>24</v>
      </c>
      <c r="AB67" s="102" t="s">
        <v>24</v>
      </c>
      <c r="AC67" s="99" t="s">
        <v>24</v>
      </c>
      <c r="AE67" s="51"/>
      <c r="AJ67" s="31"/>
      <c r="AK67" s="31"/>
      <c r="AL67" s="63"/>
      <c r="AM67" s="51"/>
      <c r="AN67" s="31"/>
      <c r="AO67" s="107" t="s">
        <v>24</v>
      </c>
      <c r="AP67" s="77" t="s">
        <v>24</v>
      </c>
      <c r="AQ67" s="51"/>
      <c r="AR67" s="30" t="s">
        <v>24</v>
      </c>
      <c r="AS67" s="30" t="s">
        <v>24</v>
      </c>
      <c r="AT67" s="63"/>
      <c r="AU67" s="51"/>
      <c r="AZ67" s="31"/>
      <c r="BA67" s="31"/>
      <c r="BB67" s="63"/>
      <c r="BC67" s="51"/>
      <c r="BD67" s="31"/>
      <c r="BE67" s="107" t="s">
        <v>24</v>
      </c>
      <c r="BF67" s="77" t="s">
        <v>24</v>
      </c>
      <c r="BG67" s="51"/>
      <c r="BH67" s="30" t="s">
        <v>24</v>
      </c>
      <c r="BI67" s="30" t="s">
        <v>24</v>
      </c>
      <c r="BJ67" s="63"/>
      <c r="BK67" s="51"/>
    </row>
    <row r="68" spans="1:66" x14ac:dyDescent="0.35">
      <c r="A68" s="114"/>
      <c r="B68" t="s">
        <v>200</v>
      </c>
      <c r="C68" s="11">
        <v>6</v>
      </c>
      <c r="D68" s="1">
        <f t="shared" si="12"/>
        <v>8</v>
      </c>
      <c r="E68" t="s">
        <v>201</v>
      </c>
      <c r="F68" t="s">
        <v>202</v>
      </c>
      <c r="X68" s="41" t="s">
        <v>23</v>
      </c>
      <c r="Y68" s="93" t="s">
        <v>24</v>
      </c>
      <c r="AA68" s="95" t="s">
        <v>24</v>
      </c>
      <c r="AB68" s="102" t="s">
        <v>24</v>
      </c>
      <c r="AF68"/>
      <c r="AG68"/>
      <c r="AI68" s="62"/>
      <c r="AL68" s="63"/>
      <c r="AM68" s="62"/>
      <c r="AO68" s="107" t="s">
        <v>24</v>
      </c>
      <c r="AP68" s="77" t="s">
        <v>24</v>
      </c>
      <c r="AQ68" s="62"/>
      <c r="AT68" s="63"/>
      <c r="AV68"/>
      <c r="AW68"/>
      <c r="AY68" s="62"/>
      <c r="BB68" s="63"/>
      <c r="BC68" s="62"/>
      <c r="BE68" s="107" t="s">
        <v>24</v>
      </c>
      <c r="BF68" s="77" t="s">
        <v>24</v>
      </c>
      <c r="BG68" s="62"/>
      <c r="BJ68" s="63"/>
      <c r="BL68"/>
      <c r="BM68"/>
    </row>
    <row r="69" spans="1:66" x14ac:dyDescent="0.35">
      <c r="A69" s="114"/>
      <c r="B69" t="s">
        <v>221</v>
      </c>
      <c r="C69" s="11">
        <v>6</v>
      </c>
      <c r="D69" s="1">
        <f t="shared" si="12"/>
        <v>8</v>
      </c>
      <c r="E69" t="s">
        <v>222</v>
      </c>
      <c r="F69" t="s">
        <v>223</v>
      </c>
      <c r="X69" s="41" t="s">
        <v>23</v>
      </c>
      <c r="Y69" s="93" t="s">
        <v>24</v>
      </c>
      <c r="Z69" s="54" t="s">
        <v>24</v>
      </c>
      <c r="AH69" s="77" t="s">
        <v>24</v>
      </c>
      <c r="AI69" s="62"/>
      <c r="AJ69" s="31"/>
      <c r="AK69" s="31"/>
      <c r="AM69" s="62"/>
      <c r="AN69" s="31"/>
      <c r="AO69" s="31"/>
      <c r="AP69" s="77" t="s">
        <v>24</v>
      </c>
      <c r="AQ69" s="62"/>
      <c r="AR69" s="31"/>
      <c r="AS69" s="31"/>
      <c r="AT69" s="52"/>
      <c r="AX69" s="77" t="s">
        <v>24</v>
      </c>
      <c r="AY69" s="62"/>
      <c r="AZ69" s="31"/>
      <c r="BA69" s="31"/>
      <c r="BC69" s="62"/>
      <c r="BD69" s="31"/>
      <c r="BE69" s="31"/>
      <c r="BF69" s="77" t="s">
        <v>24</v>
      </c>
      <c r="BG69" s="62"/>
      <c r="BH69" s="31"/>
      <c r="BI69" s="31"/>
      <c r="BJ69" s="52"/>
      <c r="BN69" s="77" t="s">
        <v>24</v>
      </c>
    </row>
    <row r="70" spans="1:66" x14ac:dyDescent="0.35">
      <c r="A70" s="114"/>
      <c r="B70" t="s">
        <v>167</v>
      </c>
      <c r="C70" s="11">
        <v>1</v>
      </c>
      <c r="D70" s="1">
        <f t="shared" si="12"/>
        <v>21</v>
      </c>
      <c r="E70" t="s">
        <v>168</v>
      </c>
      <c r="F70" t="s">
        <v>169</v>
      </c>
      <c r="Y70" s="93" t="s">
        <v>23</v>
      </c>
      <c r="AA70" s="95" t="s">
        <v>24</v>
      </c>
      <c r="AB70" s="102" t="s">
        <v>24</v>
      </c>
      <c r="AE70" s="76" t="s">
        <v>24</v>
      </c>
      <c r="AF70" s="102" t="s">
        <v>24</v>
      </c>
      <c r="AI70" s="80" t="s">
        <v>24</v>
      </c>
      <c r="AJ70" s="102" t="s">
        <v>24</v>
      </c>
      <c r="AK70" s="31"/>
      <c r="AL70" s="63"/>
      <c r="AM70" s="76" t="s">
        <v>24</v>
      </c>
      <c r="AN70" s="102" t="s">
        <v>24</v>
      </c>
      <c r="AO70" s="31"/>
      <c r="AP70" s="31"/>
      <c r="AQ70" s="80" t="s">
        <v>24</v>
      </c>
      <c r="AR70" s="102" t="s">
        <v>24</v>
      </c>
      <c r="AS70" s="31"/>
      <c r="AT70" s="63"/>
      <c r="AU70" s="76" t="s">
        <v>24</v>
      </c>
      <c r="AV70" s="102" t="s">
        <v>24</v>
      </c>
      <c r="AY70" s="80" t="s">
        <v>24</v>
      </c>
      <c r="AZ70" s="102" t="s">
        <v>24</v>
      </c>
      <c r="BA70" s="31"/>
      <c r="BB70" s="63"/>
      <c r="BC70" s="76" t="s">
        <v>24</v>
      </c>
      <c r="BD70" s="102" t="s">
        <v>24</v>
      </c>
      <c r="BE70" s="31"/>
      <c r="BF70" s="31"/>
      <c r="BG70" s="80" t="s">
        <v>24</v>
      </c>
      <c r="BH70" s="102" t="s">
        <v>24</v>
      </c>
      <c r="BI70" s="31"/>
      <c r="BJ70" s="63"/>
      <c r="BK70" s="76" t="s">
        <v>24</v>
      </c>
      <c r="BL70" s="102" t="s">
        <v>24</v>
      </c>
    </row>
    <row r="71" spans="1:66" x14ac:dyDescent="0.35">
      <c r="A71" s="114"/>
      <c r="B71" t="s">
        <v>257</v>
      </c>
      <c r="C71" s="11">
        <v>6</v>
      </c>
      <c r="D71" s="1">
        <f t="shared" si="12"/>
        <v>17</v>
      </c>
      <c r="E71" t="s">
        <v>258</v>
      </c>
      <c r="F71" t="s">
        <v>259</v>
      </c>
      <c r="Y71" s="93" t="s">
        <v>23</v>
      </c>
      <c r="Z71" s="54" t="s">
        <v>24</v>
      </c>
      <c r="AE71" s="51"/>
      <c r="AF71" s="75" t="s">
        <v>24</v>
      </c>
      <c r="AG71" s="107" t="s">
        <v>24</v>
      </c>
      <c r="AH71" s="77" t="s">
        <v>24</v>
      </c>
      <c r="AJ71" s="31"/>
      <c r="AK71" s="31"/>
      <c r="AM71" s="51"/>
      <c r="AN71" s="75" t="s">
        <v>24</v>
      </c>
      <c r="AO71" s="107" t="s">
        <v>24</v>
      </c>
      <c r="AP71" s="77" t="s">
        <v>24</v>
      </c>
      <c r="AQ71" s="51"/>
      <c r="AR71" s="31"/>
      <c r="AS71" s="31"/>
      <c r="AT71" s="52"/>
      <c r="AU71" s="51"/>
      <c r="AV71" s="75" t="s">
        <v>24</v>
      </c>
      <c r="AW71" s="107" t="s">
        <v>24</v>
      </c>
      <c r="AX71" s="77" t="s">
        <v>24</v>
      </c>
      <c r="AZ71" s="31"/>
      <c r="BA71" s="31"/>
      <c r="BC71" s="51"/>
      <c r="BD71" s="75" t="s">
        <v>24</v>
      </c>
      <c r="BE71" s="107" t="s">
        <v>24</v>
      </c>
      <c r="BF71" s="77" t="s">
        <v>24</v>
      </c>
      <c r="BG71" s="51"/>
      <c r="BH71" s="31"/>
      <c r="BI71" s="31"/>
      <c r="BJ71" s="52"/>
      <c r="BK71" s="51"/>
      <c r="BL71" s="75" t="s">
        <v>24</v>
      </c>
      <c r="BM71" s="107" t="s">
        <v>24</v>
      </c>
      <c r="BN71" s="77" t="s">
        <v>24</v>
      </c>
    </row>
    <row r="72" spans="1:66" x14ac:dyDescent="0.35">
      <c r="A72" s="114"/>
      <c r="B72" t="s">
        <v>260</v>
      </c>
      <c r="C72" s="11">
        <v>6</v>
      </c>
      <c r="D72" s="1">
        <f t="shared" si="12"/>
        <v>17</v>
      </c>
      <c r="E72" t="s">
        <v>261</v>
      </c>
      <c r="F72" t="s">
        <v>262</v>
      </c>
      <c r="Y72" s="93" t="s">
        <v>23</v>
      </c>
      <c r="Z72" s="54" t="s">
        <v>24</v>
      </c>
      <c r="AE72" s="51"/>
      <c r="AF72" s="75" t="s">
        <v>24</v>
      </c>
      <c r="AG72" s="107" t="s">
        <v>24</v>
      </c>
      <c r="AH72" s="77" t="s">
        <v>24</v>
      </c>
      <c r="AJ72" s="31"/>
      <c r="AK72" s="31"/>
      <c r="AM72" s="51"/>
      <c r="AN72" s="75" t="s">
        <v>24</v>
      </c>
      <c r="AO72" s="107" t="s">
        <v>24</v>
      </c>
      <c r="AP72" s="77" t="s">
        <v>24</v>
      </c>
      <c r="AQ72" s="51"/>
      <c r="AR72" s="31"/>
      <c r="AS72" s="31"/>
      <c r="AT72" s="52"/>
      <c r="AU72" s="51"/>
      <c r="AV72" s="75" t="s">
        <v>24</v>
      </c>
      <c r="AW72" s="107" t="s">
        <v>24</v>
      </c>
      <c r="AX72" s="77" t="s">
        <v>24</v>
      </c>
      <c r="AZ72" s="31"/>
      <c r="BA72" s="31"/>
      <c r="BC72" s="51"/>
      <c r="BD72" s="75" t="s">
        <v>24</v>
      </c>
      <c r="BE72" s="107" t="s">
        <v>24</v>
      </c>
      <c r="BF72" s="77" t="s">
        <v>24</v>
      </c>
      <c r="BG72" s="51"/>
      <c r="BH72" s="31"/>
      <c r="BI72" s="31"/>
      <c r="BJ72" s="52"/>
      <c r="BK72" s="51"/>
      <c r="BL72" s="75" t="s">
        <v>24</v>
      </c>
      <c r="BM72" s="107" t="s">
        <v>24</v>
      </c>
      <c r="BN72" s="77" t="s">
        <v>24</v>
      </c>
    </row>
    <row r="73" spans="1:66" x14ac:dyDescent="0.35">
      <c r="A73" s="114"/>
      <c r="B73" t="s">
        <v>266</v>
      </c>
      <c r="C73" s="11">
        <v>6</v>
      </c>
      <c r="D73" s="1">
        <f t="shared" si="12"/>
        <v>17</v>
      </c>
      <c r="E73" t="s">
        <v>267</v>
      </c>
      <c r="F73" t="s">
        <v>268</v>
      </c>
      <c r="Y73" s="93" t="s">
        <v>23</v>
      </c>
      <c r="Z73" s="54" t="s">
        <v>24</v>
      </c>
      <c r="AE73" s="51"/>
      <c r="AF73" s="75" t="s">
        <v>24</v>
      </c>
      <c r="AG73" s="107" t="s">
        <v>24</v>
      </c>
      <c r="AH73" s="77" t="s">
        <v>24</v>
      </c>
      <c r="AJ73" s="31"/>
      <c r="AK73" s="31"/>
      <c r="AM73" s="51"/>
      <c r="AN73" s="75" t="s">
        <v>24</v>
      </c>
      <c r="AO73" s="107" t="s">
        <v>24</v>
      </c>
      <c r="AP73" s="77" t="s">
        <v>24</v>
      </c>
      <c r="AQ73" s="51"/>
      <c r="AR73" s="31"/>
      <c r="AS73" s="31"/>
      <c r="AT73" s="52"/>
      <c r="AU73" s="51"/>
      <c r="AV73" s="75" t="s">
        <v>24</v>
      </c>
      <c r="AW73" s="107" t="s">
        <v>24</v>
      </c>
      <c r="AX73" s="77" t="s">
        <v>24</v>
      </c>
      <c r="AZ73" s="31"/>
      <c r="BA73" s="31"/>
      <c r="BC73" s="51"/>
      <c r="BD73" s="75" t="s">
        <v>24</v>
      </c>
      <c r="BE73" s="107" t="s">
        <v>24</v>
      </c>
      <c r="BF73" s="77" t="s">
        <v>24</v>
      </c>
      <c r="BG73" s="51"/>
      <c r="BH73" s="31"/>
      <c r="BI73" s="31"/>
      <c r="BJ73" s="52"/>
      <c r="BK73" s="51"/>
      <c r="BL73" s="75" t="s">
        <v>24</v>
      </c>
      <c r="BM73" s="107" t="s">
        <v>24</v>
      </c>
      <c r="BN73" s="77" t="s">
        <v>24</v>
      </c>
    </row>
    <row r="74" spans="1:66" x14ac:dyDescent="0.35">
      <c r="A74" s="114"/>
      <c r="B74" t="s">
        <v>263</v>
      </c>
      <c r="C74" s="11">
        <v>6</v>
      </c>
      <c r="D74" s="1">
        <f t="shared" si="12"/>
        <v>6</v>
      </c>
      <c r="E74" t="s">
        <v>264</v>
      </c>
      <c r="F74" t="s">
        <v>265</v>
      </c>
      <c r="Z74" s="54" t="s">
        <v>23</v>
      </c>
      <c r="AE74" s="51"/>
      <c r="AF74"/>
      <c r="AG74"/>
      <c r="AH74" s="77" t="s">
        <v>24</v>
      </c>
      <c r="AM74" s="51"/>
      <c r="AP74" s="77" t="s">
        <v>24</v>
      </c>
      <c r="AQ74" s="51"/>
      <c r="AT74" s="52"/>
      <c r="AU74" s="51"/>
      <c r="AV74"/>
      <c r="AW74"/>
      <c r="AX74" s="77" t="s">
        <v>24</v>
      </c>
      <c r="BC74" s="51"/>
      <c r="BF74" s="77" t="s">
        <v>24</v>
      </c>
      <c r="BG74" s="51"/>
      <c r="BJ74" s="52"/>
      <c r="BK74" s="51"/>
      <c r="BL74"/>
      <c r="BM74"/>
      <c r="BN74" s="77" t="s">
        <v>24</v>
      </c>
    </row>
    <row r="75" spans="1:66" x14ac:dyDescent="0.35">
      <c r="A75" s="114"/>
      <c r="B75" t="s">
        <v>269</v>
      </c>
      <c r="C75" s="11">
        <v>6</v>
      </c>
      <c r="D75" s="1">
        <f t="shared" si="12"/>
        <v>6</v>
      </c>
      <c r="E75" t="s">
        <v>270</v>
      </c>
      <c r="F75" t="s">
        <v>271</v>
      </c>
      <c r="Z75" s="54" t="s">
        <v>23</v>
      </c>
      <c r="AE75" s="51"/>
      <c r="AF75"/>
      <c r="AG75"/>
      <c r="AH75" s="77" t="s">
        <v>24</v>
      </c>
      <c r="AM75" s="51"/>
      <c r="AP75" s="77" t="s">
        <v>24</v>
      </c>
      <c r="AQ75" s="51"/>
      <c r="AT75" s="52"/>
      <c r="AU75" s="51"/>
      <c r="AV75"/>
      <c r="AW75"/>
      <c r="AX75" s="77" t="s">
        <v>24</v>
      </c>
      <c r="BC75" s="51"/>
      <c r="BF75" s="77" t="s">
        <v>24</v>
      </c>
      <c r="BG75" s="51"/>
      <c r="BJ75" s="52"/>
      <c r="BK75" s="51"/>
      <c r="BL75"/>
      <c r="BM75"/>
      <c r="BN75" s="77" t="s">
        <v>24</v>
      </c>
    </row>
    <row r="76" spans="1:66" x14ac:dyDescent="0.35">
      <c r="A76" s="114"/>
      <c r="B76" s="2" t="s">
        <v>811</v>
      </c>
      <c r="C76" s="28">
        <v>4</v>
      </c>
      <c r="D76" s="5">
        <f t="shared" si="12"/>
        <v>4</v>
      </c>
      <c r="E76" s="2" t="s">
        <v>812</v>
      </c>
      <c r="F76" s="2" t="s">
        <v>813</v>
      </c>
      <c r="AA76" s="104" t="s">
        <v>23</v>
      </c>
      <c r="AB76" s="115" t="s">
        <v>24</v>
      </c>
      <c r="AC76" s="115" t="s">
        <v>24</v>
      </c>
      <c r="AD76" s="115" t="s">
        <v>24</v>
      </c>
      <c r="AF76"/>
      <c r="AG76"/>
      <c r="AH76"/>
      <c r="AI76" s="62"/>
      <c r="AJ76" s="31"/>
      <c r="AK76" s="31"/>
      <c r="AM76" s="62"/>
      <c r="AQ76" s="62"/>
      <c r="AR76" s="31"/>
      <c r="AS76" s="31"/>
      <c r="AT76" s="52"/>
      <c r="AV76"/>
      <c r="AW76"/>
      <c r="AX76"/>
      <c r="AY76" s="62"/>
      <c r="AZ76" s="31"/>
      <c r="BA76" s="31"/>
      <c r="BC76" s="62"/>
      <c r="BG76" s="62"/>
      <c r="BH76" s="31"/>
      <c r="BI76" s="31"/>
      <c r="BJ76" s="52"/>
      <c r="BL76"/>
      <c r="BM76"/>
      <c r="BN76"/>
    </row>
    <row r="77" spans="1:66" x14ac:dyDescent="0.35">
      <c r="A77" s="114"/>
      <c r="B77" t="s">
        <v>239</v>
      </c>
      <c r="C77" s="11">
        <v>4</v>
      </c>
      <c r="D77" s="1">
        <f t="shared" si="12"/>
        <v>7</v>
      </c>
      <c r="E77" t="s">
        <v>240</v>
      </c>
      <c r="F77" t="s">
        <v>241</v>
      </c>
      <c r="AA77" s="95" t="s">
        <v>23</v>
      </c>
      <c r="AB77" s="102" t="s">
        <v>24</v>
      </c>
      <c r="AE77" s="76" t="s">
        <v>24</v>
      </c>
      <c r="AF77"/>
      <c r="AG77"/>
      <c r="AH77"/>
      <c r="AI77" s="62"/>
      <c r="AM77" s="76" t="s">
        <v>24</v>
      </c>
      <c r="AQ77" s="62"/>
      <c r="AT77" s="52"/>
      <c r="AU77" s="76" t="s">
        <v>24</v>
      </c>
      <c r="AV77"/>
      <c r="AW77"/>
      <c r="AX77"/>
      <c r="AY77" s="62"/>
      <c r="BC77" s="76" t="s">
        <v>24</v>
      </c>
      <c r="BG77" s="62"/>
      <c r="BJ77" s="52"/>
      <c r="BK77" s="76" t="s">
        <v>24</v>
      </c>
      <c r="BL77"/>
      <c r="BM77"/>
      <c r="BN77"/>
    </row>
    <row r="78" spans="1:66" x14ac:dyDescent="0.35">
      <c r="A78" s="114"/>
      <c r="B78" t="s">
        <v>242</v>
      </c>
      <c r="C78" s="11">
        <v>4</v>
      </c>
      <c r="D78" s="1">
        <f t="shared" si="12"/>
        <v>7</v>
      </c>
      <c r="E78" t="s">
        <v>243</v>
      </c>
      <c r="F78" t="s">
        <v>244</v>
      </c>
      <c r="AA78" s="95" t="s">
        <v>23</v>
      </c>
      <c r="AB78" s="102" t="s">
        <v>24</v>
      </c>
      <c r="AE78" s="76" t="s">
        <v>24</v>
      </c>
      <c r="AF78"/>
      <c r="AG78"/>
      <c r="AH78"/>
      <c r="AI78" s="62"/>
      <c r="AM78" s="76" t="s">
        <v>24</v>
      </c>
      <c r="AQ78" s="62"/>
      <c r="AT78" s="52"/>
      <c r="AU78" s="76" t="s">
        <v>24</v>
      </c>
      <c r="AV78"/>
      <c r="AW78"/>
      <c r="AX78"/>
      <c r="AY78" s="62"/>
      <c r="BC78" s="76" t="s">
        <v>24</v>
      </c>
      <c r="BG78" s="62"/>
      <c r="BJ78" s="52"/>
      <c r="BK78" s="76" t="s">
        <v>24</v>
      </c>
      <c r="BL78"/>
      <c r="BM78"/>
      <c r="BN78"/>
    </row>
    <row r="79" spans="1:66" x14ac:dyDescent="0.35">
      <c r="A79" s="114"/>
      <c r="B79" t="s">
        <v>185</v>
      </c>
      <c r="C79" s="11">
        <v>6</v>
      </c>
      <c r="D79" s="1">
        <f t="shared" si="12"/>
        <v>11</v>
      </c>
      <c r="E79" t="s">
        <v>186</v>
      </c>
      <c r="F79" t="s">
        <v>187</v>
      </c>
      <c r="AA79" s="95" t="s">
        <v>23</v>
      </c>
      <c r="AB79" s="102" t="s">
        <v>24</v>
      </c>
      <c r="AC79" s="99" t="s">
        <v>24</v>
      </c>
      <c r="AF79"/>
      <c r="AG79"/>
      <c r="AH79"/>
      <c r="AI79" s="62"/>
      <c r="AJ79" s="31"/>
      <c r="AK79" s="31"/>
      <c r="AM79" s="76" t="s">
        <v>24</v>
      </c>
      <c r="AN79" s="75" t="s">
        <v>24</v>
      </c>
      <c r="AQ79" s="62"/>
      <c r="AR79" s="30" t="s">
        <v>24</v>
      </c>
      <c r="AS79" s="30" t="s">
        <v>24</v>
      </c>
      <c r="AT79" s="52"/>
      <c r="AV79"/>
      <c r="AW79"/>
      <c r="AX79"/>
      <c r="AY79" s="62"/>
      <c r="AZ79" s="31"/>
      <c r="BA79" s="31"/>
      <c r="BC79" s="76" t="s">
        <v>24</v>
      </c>
      <c r="BD79" s="75" t="s">
        <v>24</v>
      </c>
      <c r="BG79" s="62"/>
      <c r="BH79" s="30" t="s">
        <v>24</v>
      </c>
      <c r="BI79" s="30" t="s">
        <v>24</v>
      </c>
      <c r="BJ79" s="52"/>
      <c r="BL79"/>
      <c r="BM79"/>
      <c r="BN79"/>
    </row>
    <row r="80" spans="1:66" x14ac:dyDescent="0.35">
      <c r="A80" s="114"/>
      <c r="B80" t="s">
        <v>233</v>
      </c>
      <c r="C80" s="11">
        <v>4</v>
      </c>
      <c r="D80" s="1">
        <f t="shared" si="12"/>
        <v>6</v>
      </c>
      <c r="E80" t="s">
        <v>234</v>
      </c>
      <c r="F80" t="s">
        <v>235</v>
      </c>
      <c r="AB80" s="102" t="s">
        <v>23</v>
      </c>
      <c r="AC80" s="99" t="s">
        <v>24</v>
      </c>
      <c r="AE80" s="51"/>
      <c r="AF80"/>
      <c r="AG80"/>
      <c r="AH80"/>
      <c r="AI80" s="80" t="s">
        <v>24</v>
      </c>
      <c r="AM80" s="51"/>
      <c r="AN80" s="75" t="s">
        <v>24</v>
      </c>
      <c r="AQ80" s="62"/>
      <c r="AT80" s="52"/>
      <c r="AU80" s="51"/>
      <c r="AV80"/>
      <c r="AW80"/>
      <c r="AX80"/>
      <c r="AY80" s="80" t="s">
        <v>24</v>
      </c>
      <c r="BC80" s="51"/>
      <c r="BD80" s="75" t="s">
        <v>24</v>
      </c>
      <c r="BG80" s="62"/>
      <c r="BJ80" s="52"/>
      <c r="BK80" s="51"/>
      <c r="BL80"/>
      <c r="BM80"/>
      <c r="BN80"/>
    </row>
    <row r="81" spans="1:66" x14ac:dyDescent="0.35">
      <c r="A81" s="114"/>
      <c r="B81" t="s">
        <v>251</v>
      </c>
      <c r="C81" s="11">
        <v>4</v>
      </c>
      <c r="D81" s="1">
        <f t="shared" si="12"/>
        <v>13</v>
      </c>
      <c r="E81" t="s">
        <v>252</v>
      </c>
      <c r="F81" t="s">
        <v>253</v>
      </c>
      <c r="AB81" s="102" t="s">
        <v>23</v>
      </c>
      <c r="AC81" s="99" t="s">
        <v>24</v>
      </c>
      <c r="AD81" s="53" t="s">
        <v>24</v>
      </c>
      <c r="AE81" s="51"/>
      <c r="AF81"/>
      <c r="AG81"/>
      <c r="AH81"/>
      <c r="AK81" s="31"/>
      <c r="AM81" s="76" t="s">
        <v>24</v>
      </c>
      <c r="AN81" s="75" t="s">
        <v>24</v>
      </c>
      <c r="AO81" s="107" t="s">
        <v>24</v>
      </c>
      <c r="AQ81" s="80" t="s">
        <v>24</v>
      </c>
      <c r="AR81" s="30" t="s">
        <v>24</v>
      </c>
      <c r="AT81" s="52"/>
      <c r="AU81" s="51"/>
      <c r="AV81"/>
      <c r="AW81"/>
      <c r="AX81"/>
      <c r="BA81" s="31"/>
      <c r="BC81" s="76" t="s">
        <v>24</v>
      </c>
      <c r="BD81" s="75" t="s">
        <v>24</v>
      </c>
      <c r="BE81" s="107" t="s">
        <v>24</v>
      </c>
      <c r="BG81" s="80" t="s">
        <v>24</v>
      </c>
      <c r="BH81" s="30" t="s">
        <v>24</v>
      </c>
      <c r="BJ81" s="52"/>
      <c r="BK81" s="51"/>
      <c r="BL81"/>
      <c r="BM81"/>
      <c r="BN81"/>
    </row>
    <row r="82" spans="1:66" x14ac:dyDescent="0.35">
      <c r="A82" s="114"/>
      <c r="B82" t="s">
        <v>254</v>
      </c>
      <c r="C82" s="11">
        <v>6</v>
      </c>
      <c r="D82" s="1">
        <f t="shared" si="12"/>
        <v>13</v>
      </c>
      <c r="E82" t="s">
        <v>255</v>
      </c>
      <c r="F82" t="s">
        <v>256</v>
      </c>
      <c r="AB82" s="102" t="s">
        <v>23</v>
      </c>
      <c r="AC82" s="99" t="s">
        <v>24</v>
      </c>
      <c r="AD82" s="53" t="s">
        <v>24</v>
      </c>
      <c r="AE82" s="51"/>
      <c r="AF82"/>
      <c r="AG82"/>
      <c r="AH82"/>
      <c r="AM82" s="76" t="s">
        <v>24</v>
      </c>
      <c r="AN82" s="75" t="s">
        <v>24</v>
      </c>
      <c r="AO82" s="107" t="s">
        <v>24</v>
      </c>
      <c r="AQ82" s="80" t="s">
        <v>24</v>
      </c>
      <c r="AR82" s="30" t="s">
        <v>24</v>
      </c>
      <c r="AT82" s="52"/>
      <c r="AU82" s="51"/>
      <c r="AV82"/>
      <c r="AW82"/>
      <c r="AX82"/>
      <c r="BC82" s="76" t="s">
        <v>24</v>
      </c>
      <c r="BD82" s="75" t="s">
        <v>24</v>
      </c>
      <c r="BE82" s="107" t="s">
        <v>24</v>
      </c>
      <c r="BG82" s="80" t="s">
        <v>24</v>
      </c>
      <c r="BH82" s="30" t="s">
        <v>24</v>
      </c>
      <c r="BJ82" s="52"/>
      <c r="BK82" s="51"/>
      <c r="BL82"/>
      <c r="BM82"/>
      <c r="BN82"/>
    </row>
    <row r="83" spans="1:66" x14ac:dyDescent="0.35">
      <c r="A83" s="114"/>
      <c r="B83" t="s">
        <v>248</v>
      </c>
      <c r="C83" s="11">
        <v>4</v>
      </c>
      <c r="D83" s="1">
        <f t="shared" si="12"/>
        <v>4</v>
      </c>
      <c r="E83" t="s">
        <v>249</v>
      </c>
      <c r="F83" t="s">
        <v>250</v>
      </c>
      <c r="AC83" s="99" t="s">
        <v>23</v>
      </c>
      <c r="AD83" s="53" t="s">
        <v>24</v>
      </c>
      <c r="AE83" s="51"/>
      <c r="AF83"/>
      <c r="AG83"/>
      <c r="AH83"/>
      <c r="AM83" s="51"/>
      <c r="AQ83" s="51"/>
      <c r="AT83" s="81" t="s">
        <v>24</v>
      </c>
      <c r="AU83" s="51"/>
      <c r="AV83"/>
      <c r="AW83"/>
      <c r="AX83"/>
      <c r="BC83" s="51"/>
      <c r="BG83" s="51"/>
      <c r="BJ83" s="81" t="s">
        <v>24</v>
      </c>
      <c r="BK83" s="51"/>
      <c r="BL83"/>
      <c r="BM83"/>
      <c r="BN83"/>
    </row>
    <row r="84" spans="1:66" x14ac:dyDescent="0.35">
      <c r="A84" s="114"/>
      <c r="B84" t="s">
        <v>197</v>
      </c>
      <c r="C84" s="11">
        <v>6</v>
      </c>
      <c r="D84" s="1">
        <f t="shared" si="12"/>
        <v>12</v>
      </c>
      <c r="E84" t="s">
        <v>198</v>
      </c>
      <c r="F84" t="s">
        <v>199</v>
      </c>
      <c r="AC84" s="99" t="s">
        <v>23</v>
      </c>
      <c r="AD84" s="53" t="s">
        <v>24</v>
      </c>
      <c r="AF84" s="75" t="s">
        <v>24</v>
      </c>
      <c r="AG84" s="107" t="s">
        <v>24</v>
      </c>
      <c r="AH84"/>
      <c r="AI84" s="62"/>
      <c r="AM84" s="62"/>
      <c r="AP84" s="77" t="s">
        <v>24</v>
      </c>
      <c r="AQ84" s="62"/>
      <c r="AT84" s="81" t="s">
        <v>24</v>
      </c>
      <c r="AV84" s="75" t="s">
        <v>24</v>
      </c>
      <c r="AW84" s="107" t="s">
        <v>24</v>
      </c>
      <c r="AX84"/>
      <c r="AY84" s="62"/>
      <c r="BC84" s="62"/>
      <c r="BF84" s="77" t="s">
        <v>24</v>
      </c>
      <c r="BG84" s="62"/>
      <c r="BJ84" s="81" t="s">
        <v>24</v>
      </c>
      <c r="BL84" s="75" t="s">
        <v>24</v>
      </c>
      <c r="BM84" s="107" t="s">
        <v>24</v>
      </c>
      <c r="BN84"/>
    </row>
    <row r="85" spans="1:66" x14ac:dyDescent="0.35">
      <c r="A85" s="114"/>
      <c r="B85" t="s">
        <v>215</v>
      </c>
      <c r="C85" s="11">
        <v>6</v>
      </c>
      <c r="D85" s="1">
        <f t="shared" si="12"/>
        <v>9</v>
      </c>
      <c r="E85" t="s">
        <v>216</v>
      </c>
      <c r="F85" t="s">
        <v>217</v>
      </c>
      <c r="AD85" s="53" t="s">
        <v>23</v>
      </c>
      <c r="AH85"/>
      <c r="AI85" s="62"/>
      <c r="AK85" s="30" t="s">
        <v>24</v>
      </c>
      <c r="AL85" s="81" t="s">
        <v>24</v>
      </c>
      <c r="AM85" s="62"/>
      <c r="AN85" s="31"/>
      <c r="AO85" s="31"/>
      <c r="AQ85" s="62"/>
      <c r="AS85" s="30" t="s">
        <v>24</v>
      </c>
      <c r="AT85" s="81" t="s">
        <v>24</v>
      </c>
      <c r="AX85"/>
      <c r="AY85" s="62"/>
      <c r="BA85" s="30" t="s">
        <v>24</v>
      </c>
      <c r="BB85" s="81" t="s">
        <v>24</v>
      </c>
      <c r="BC85" s="62"/>
      <c r="BD85" s="31"/>
      <c r="BE85" s="31"/>
      <c r="BG85" s="62"/>
      <c r="BI85" s="30" t="s">
        <v>24</v>
      </c>
      <c r="BJ85" s="81" t="s">
        <v>24</v>
      </c>
      <c r="BN85"/>
    </row>
    <row r="86" spans="1:66" x14ac:dyDescent="0.35">
      <c r="A86" s="114"/>
      <c r="B86" t="s">
        <v>218</v>
      </c>
      <c r="C86" s="11">
        <v>6</v>
      </c>
      <c r="D86" s="1">
        <f t="shared" si="12"/>
        <v>9</v>
      </c>
      <c r="E86" t="s">
        <v>219</v>
      </c>
      <c r="F86" t="s">
        <v>220</v>
      </c>
      <c r="AD86" s="53" t="s">
        <v>23</v>
      </c>
      <c r="AH86"/>
      <c r="AI86" s="62"/>
      <c r="AK86" s="30" t="s">
        <v>24</v>
      </c>
      <c r="AL86" s="81" t="s">
        <v>24</v>
      </c>
      <c r="AM86" s="62"/>
      <c r="AN86" s="31"/>
      <c r="AO86" s="31"/>
      <c r="AQ86" s="62"/>
      <c r="AS86" s="30" t="s">
        <v>24</v>
      </c>
      <c r="AT86" s="81" t="s">
        <v>24</v>
      </c>
      <c r="AX86"/>
      <c r="AY86" s="62"/>
      <c r="BA86" s="30" t="s">
        <v>24</v>
      </c>
      <c r="BB86" s="81" t="s">
        <v>24</v>
      </c>
      <c r="BC86" s="62"/>
      <c r="BD86" s="31"/>
      <c r="BE86" s="31"/>
      <c r="BG86" s="62"/>
      <c r="BI86" s="30" t="s">
        <v>24</v>
      </c>
      <c r="BJ86" s="81" t="s">
        <v>24</v>
      </c>
      <c r="BN86"/>
    </row>
    <row r="87" spans="1:66" x14ac:dyDescent="0.35">
      <c r="A87" s="114"/>
      <c r="B87" t="s">
        <v>274</v>
      </c>
      <c r="C87" s="11">
        <v>6</v>
      </c>
      <c r="D87" s="1">
        <f t="shared" si="12"/>
        <v>5</v>
      </c>
      <c r="E87" t="s">
        <v>275</v>
      </c>
      <c r="F87" t="s">
        <v>276</v>
      </c>
      <c r="AD87" s="53" t="s">
        <v>23</v>
      </c>
      <c r="AE87" s="51"/>
      <c r="AF87"/>
      <c r="AG87"/>
      <c r="AH87"/>
      <c r="AL87" s="81" t="s">
        <v>24</v>
      </c>
      <c r="AM87" s="51"/>
      <c r="AQ87" s="51"/>
      <c r="AT87" s="81" t="s">
        <v>24</v>
      </c>
      <c r="AU87" s="51"/>
      <c r="AV87"/>
      <c r="AW87"/>
      <c r="AX87"/>
      <c r="BB87" s="81" t="s">
        <v>24</v>
      </c>
      <c r="BC87" s="51"/>
      <c r="BG87" s="51"/>
      <c r="BJ87" s="81" t="s">
        <v>24</v>
      </c>
      <c r="BK87" s="51"/>
      <c r="BL87"/>
      <c r="BM87"/>
      <c r="BN87"/>
    </row>
    <row r="88" spans="1:66" x14ac:dyDescent="0.35">
      <c r="A88" s="114"/>
      <c r="B88" s="2" t="s">
        <v>816</v>
      </c>
      <c r="C88" s="28">
        <v>4</v>
      </c>
      <c r="D88" s="5">
        <f t="shared" si="12"/>
        <v>4</v>
      </c>
      <c r="E88" s="2" t="s">
        <v>812</v>
      </c>
      <c r="F88" s="2" t="s">
        <v>813</v>
      </c>
      <c r="AE88" s="104" t="s">
        <v>23</v>
      </c>
      <c r="AF88" s="115" t="s">
        <v>24</v>
      </c>
      <c r="AG88" s="115" t="s">
        <v>24</v>
      </c>
      <c r="AH88" s="115" t="s">
        <v>24</v>
      </c>
      <c r="AI88" s="62"/>
      <c r="AJ88" s="31"/>
      <c r="AK88" s="31"/>
      <c r="AM88" s="51"/>
      <c r="AQ88" s="62"/>
      <c r="AR88" s="31"/>
      <c r="AS88" s="31"/>
      <c r="AT88" s="52"/>
      <c r="AU88" s="51"/>
      <c r="AV88"/>
      <c r="AW88"/>
      <c r="AX88"/>
      <c r="AY88" s="62"/>
      <c r="AZ88" s="31"/>
      <c r="BA88" s="31"/>
      <c r="BC88" s="51"/>
      <c r="BG88" s="62"/>
      <c r="BH88" s="31"/>
      <c r="BI88" s="31"/>
      <c r="BJ88" s="52"/>
      <c r="BK88" s="51"/>
      <c r="BL88"/>
      <c r="BM88"/>
      <c r="BN88"/>
    </row>
    <row r="89" spans="1:66" x14ac:dyDescent="0.35">
      <c r="A89" s="114"/>
      <c r="B89" t="s">
        <v>224</v>
      </c>
      <c r="C89" s="11">
        <v>6</v>
      </c>
      <c r="D89" s="1">
        <f t="shared" si="12"/>
        <v>12</v>
      </c>
      <c r="E89" t="s">
        <v>225</v>
      </c>
      <c r="F89" t="s">
        <v>226</v>
      </c>
      <c r="AE89" s="76" t="s">
        <v>23</v>
      </c>
      <c r="AF89" s="75" t="s">
        <v>24</v>
      </c>
      <c r="AG89"/>
      <c r="AI89" s="62"/>
      <c r="AJ89" s="30" t="s">
        <v>24</v>
      </c>
      <c r="AK89" s="31"/>
      <c r="AL89" s="63"/>
      <c r="AM89" s="51"/>
      <c r="AP89" s="31"/>
      <c r="AQ89" s="80" t="s">
        <v>24</v>
      </c>
      <c r="AR89" s="30" t="s">
        <v>24</v>
      </c>
      <c r="AS89" s="31"/>
      <c r="AT89" s="63"/>
      <c r="AU89" s="76" t="s">
        <v>24</v>
      </c>
      <c r="AV89" s="75" t="s">
        <v>24</v>
      </c>
      <c r="AW89"/>
      <c r="AY89" s="62"/>
      <c r="AZ89" s="30" t="s">
        <v>24</v>
      </c>
      <c r="BA89" s="31"/>
      <c r="BB89" s="63"/>
      <c r="BC89" s="51"/>
      <c r="BF89" s="31"/>
      <c r="BG89" s="80" t="s">
        <v>24</v>
      </c>
      <c r="BH89" s="30" t="s">
        <v>24</v>
      </c>
      <c r="BI89" s="31"/>
      <c r="BJ89" s="63"/>
      <c r="BK89" s="76" t="s">
        <v>24</v>
      </c>
      <c r="BL89" s="75" t="s">
        <v>24</v>
      </c>
      <c r="BM89"/>
    </row>
    <row r="90" spans="1:66" x14ac:dyDescent="0.35">
      <c r="A90" s="114"/>
      <c r="B90" t="s">
        <v>230</v>
      </c>
      <c r="C90" s="11">
        <v>4</v>
      </c>
      <c r="D90" s="1">
        <f t="shared" si="12"/>
        <v>12</v>
      </c>
      <c r="E90" t="s">
        <v>231</v>
      </c>
      <c r="F90" t="s">
        <v>232</v>
      </c>
      <c r="AE90" s="76" t="s">
        <v>23</v>
      </c>
      <c r="AF90" s="75" t="s">
        <v>24</v>
      </c>
      <c r="AG90"/>
      <c r="AI90" s="62"/>
      <c r="AL90" s="63"/>
      <c r="AM90" s="51"/>
      <c r="AN90" s="75" t="s">
        <v>24</v>
      </c>
      <c r="AO90" s="107" t="s">
        <v>24</v>
      </c>
      <c r="AP90" s="31"/>
      <c r="AQ90" s="62"/>
      <c r="AS90" s="30" t="s">
        <v>24</v>
      </c>
      <c r="AT90" s="63"/>
      <c r="AU90" s="76" t="s">
        <v>24</v>
      </c>
      <c r="AV90" s="75" t="s">
        <v>24</v>
      </c>
      <c r="AW90"/>
      <c r="AY90" s="62"/>
      <c r="BB90" s="63"/>
      <c r="BC90" s="51"/>
      <c r="BD90" s="75" t="s">
        <v>24</v>
      </c>
      <c r="BE90" s="107" t="s">
        <v>24</v>
      </c>
      <c r="BF90" s="31"/>
      <c r="BG90" s="62"/>
      <c r="BI90" s="30" t="s">
        <v>24</v>
      </c>
      <c r="BJ90" s="63"/>
      <c r="BK90" s="76" t="s">
        <v>24</v>
      </c>
      <c r="BL90" s="75" t="s">
        <v>24</v>
      </c>
      <c r="BM90"/>
    </row>
    <row r="91" spans="1:66" x14ac:dyDescent="0.35">
      <c r="A91" s="114"/>
      <c r="B91" t="s">
        <v>188</v>
      </c>
      <c r="C91" s="11">
        <v>4</v>
      </c>
      <c r="D91" s="1">
        <f t="shared" si="12"/>
        <v>13</v>
      </c>
      <c r="E91" t="s">
        <v>189</v>
      </c>
      <c r="F91" t="s">
        <v>190</v>
      </c>
      <c r="AE91" s="76" t="s">
        <v>23</v>
      </c>
      <c r="AF91" s="75" t="s">
        <v>24</v>
      </c>
      <c r="AG91" s="107" t="s">
        <v>24</v>
      </c>
      <c r="AI91" s="62"/>
      <c r="AJ91" s="30" t="s">
        <v>24</v>
      </c>
      <c r="AK91" s="30" t="s">
        <v>24</v>
      </c>
      <c r="AL91" s="63"/>
      <c r="AM91" s="51"/>
      <c r="AP91" s="31"/>
      <c r="AQ91" s="62"/>
      <c r="AT91" s="63"/>
      <c r="AU91" s="76" t="s">
        <v>24</v>
      </c>
      <c r="AV91" s="75" t="s">
        <v>24</v>
      </c>
      <c r="AW91" s="107" t="s">
        <v>24</v>
      </c>
      <c r="AY91" s="62"/>
      <c r="AZ91" s="30" t="s">
        <v>24</v>
      </c>
      <c r="BA91" s="30" t="s">
        <v>24</v>
      </c>
      <c r="BB91" s="63"/>
      <c r="BC91" s="51"/>
      <c r="BF91" s="31"/>
      <c r="BG91" s="62"/>
      <c r="BJ91" s="63"/>
      <c r="BK91" s="76" t="s">
        <v>24</v>
      </c>
      <c r="BL91" s="75" t="s">
        <v>24</v>
      </c>
      <c r="BM91" s="107" t="s">
        <v>24</v>
      </c>
    </row>
    <row r="92" spans="1:66" x14ac:dyDescent="0.35">
      <c r="A92" s="114"/>
      <c r="B92" t="s">
        <v>179</v>
      </c>
      <c r="C92" s="11">
        <v>6</v>
      </c>
      <c r="D92" s="1">
        <f>COUNTIF(G92:AAN92,"✅")+COUNTIF(G92:AAN92,"✔️")</f>
        <v>10</v>
      </c>
      <c r="E92" t="s">
        <v>180</v>
      </c>
      <c r="F92" t="s">
        <v>181</v>
      </c>
      <c r="AE92" s="51"/>
      <c r="AF92" s="75" t="s">
        <v>23</v>
      </c>
      <c r="AG92" s="107" t="s">
        <v>24</v>
      </c>
      <c r="AI92" s="62"/>
      <c r="AM92" s="51"/>
      <c r="AQ92" s="80" t="s">
        <v>24</v>
      </c>
      <c r="AR92" s="30" t="s">
        <v>24</v>
      </c>
      <c r="AT92" s="52"/>
      <c r="AU92" s="51"/>
      <c r="AV92" s="75" t="s">
        <v>24</v>
      </c>
      <c r="AW92" s="107" t="s">
        <v>24</v>
      </c>
      <c r="AY92" s="62"/>
      <c r="BC92" s="51"/>
      <c r="BG92" s="80" t="s">
        <v>24</v>
      </c>
      <c r="BH92" s="30" t="s">
        <v>24</v>
      </c>
      <c r="BJ92" s="52"/>
      <c r="BK92" s="51"/>
      <c r="BL92" s="75" t="s">
        <v>24</v>
      </c>
      <c r="BM92" s="107" t="s">
        <v>24</v>
      </c>
    </row>
    <row r="93" spans="1:66" x14ac:dyDescent="0.35">
      <c r="A93" s="114"/>
      <c r="B93" t="s">
        <v>191</v>
      </c>
      <c r="C93" s="11">
        <v>4</v>
      </c>
      <c r="D93" s="1">
        <f t="shared" si="12"/>
        <v>16</v>
      </c>
      <c r="E93" t="s">
        <v>192</v>
      </c>
      <c r="F93" t="s">
        <v>193</v>
      </c>
      <c r="AF93" s="75" t="s">
        <v>23</v>
      </c>
      <c r="AG93" s="107" t="s">
        <v>24</v>
      </c>
      <c r="AI93" s="80" t="s">
        <v>24</v>
      </c>
      <c r="AJ93" s="30" t="s">
        <v>24</v>
      </c>
      <c r="AK93" s="30" t="s">
        <v>24</v>
      </c>
      <c r="AL93" s="63"/>
      <c r="AM93" s="62"/>
      <c r="AN93" s="75" t="s">
        <v>24</v>
      </c>
      <c r="AP93" s="31"/>
      <c r="AQ93" s="62"/>
      <c r="AS93" s="30" t="s">
        <v>24</v>
      </c>
      <c r="AT93" s="63"/>
      <c r="AV93" s="75" t="s">
        <v>24</v>
      </c>
      <c r="AW93" s="107" t="s">
        <v>24</v>
      </c>
      <c r="AY93" s="80" t="s">
        <v>24</v>
      </c>
      <c r="AZ93" s="30" t="s">
        <v>24</v>
      </c>
      <c r="BA93" s="30" t="s">
        <v>24</v>
      </c>
      <c r="BB93" s="63"/>
      <c r="BC93" s="62"/>
      <c r="BD93" s="75" t="s">
        <v>24</v>
      </c>
      <c r="BF93" s="31"/>
      <c r="BG93" s="62"/>
      <c r="BI93" s="30" t="s">
        <v>24</v>
      </c>
      <c r="BJ93" s="63"/>
      <c r="BL93" s="75" t="s">
        <v>24</v>
      </c>
      <c r="BM93" s="107" t="s">
        <v>24</v>
      </c>
    </row>
    <row r="94" spans="1:66" x14ac:dyDescent="0.35">
      <c r="A94" s="114"/>
      <c r="B94" t="s">
        <v>203</v>
      </c>
      <c r="C94" s="11">
        <v>6</v>
      </c>
      <c r="D94" s="1">
        <f t="shared" si="12"/>
        <v>15</v>
      </c>
      <c r="E94" t="s">
        <v>204</v>
      </c>
      <c r="F94" t="s">
        <v>205</v>
      </c>
      <c r="AF94" s="75" t="s">
        <v>23</v>
      </c>
      <c r="AG94" s="107" t="s">
        <v>24</v>
      </c>
      <c r="AH94" s="77" t="s">
        <v>24</v>
      </c>
      <c r="AI94" s="62"/>
      <c r="AM94" s="62"/>
      <c r="AN94" s="75" t="s">
        <v>24</v>
      </c>
      <c r="AO94" s="107" t="s">
        <v>24</v>
      </c>
      <c r="AP94" s="77" t="s">
        <v>24</v>
      </c>
      <c r="AQ94" s="62"/>
      <c r="AT94" s="52"/>
      <c r="AV94" s="75" t="s">
        <v>24</v>
      </c>
      <c r="AW94" s="107" t="s">
        <v>24</v>
      </c>
      <c r="AX94" s="77" t="s">
        <v>24</v>
      </c>
      <c r="AY94" s="62"/>
      <c r="BC94" s="62"/>
      <c r="BD94" s="75" t="s">
        <v>24</v>
      </c>
      <c r="BE94" s="107" t="s">
        <v>24</v>
      </c>
      <c r="BF94" s="77" t="s">
        <v>24</v>
      </c>
      <c r="BG94" s="62"/>
      <c r="BJ94" s="52"/>
      <c r="BL94" s="75" t="s">
        <v>24</v>
      </c>
      <c r="BM94" s="107" t="s">
        <v>24</v>
      </c>
      <c r="BN94" s="77" t="s">
        <v>24</v>
      </c>
    </row>
    <row r="95" spans="1:66" x14ac:dyDescent="0.35">
      <c r="A95" s="114"/>
      <c r="B95" t="s">
        <v>277</v>
      </c>
      <c r="C95" s="11">
        <v>6</v>
      </c>
      <c r="D95" s="1">
        <f t="shared" si="12"/>
        <v>10</v>
      </c>
      <c r="E95" t="s">
        <v>278</v>
      </c>
      <c r="F95" t="s">
        <v>279</v>
      </c>
      <c r="AE95" s="51"/>
      <c r="AG95" s="107" t="s">
        <v>23</v>
      </c>
      <c r="AH95" s="77" t="s">
        <v>24</v>
      </c>
      <c r="AM95" s="51"/>
      <c r="AN95" s="31"/>
      <c r="AO95" s="107" t="s">
        <v>24</v>
      </c>
      <c r="AP95" s="77" t="s">
        <v>24</v>
      </c>
      <c r="AQ95" s="51"/>
      <c r="AT95" s="52"/>
      <c r="AU95" s="51"/>
      <c r="AW95" s="107" t="s">
        <v>24</v>
      </c>
      <c r="AX95" s="77" t="s">
        <v>24</v>
      </c>
      <c r="BC95" s="51"/>
      <c r="BD95" s="31"/>
      <c r="BE95" s="107" t="s">
        <v>24</v>
      </c>
      <c r="BF95" s="77" t="s">
        <v>24</v>
      </c>
      <c r="BG95" s="51"/>
      <c r="BJ95" s="52"/>
      <c r="BK95" s="51"/>
      <c r="BM95" s="107" t="s">
        <v>24</v>
      </c>
      <c r="BN95" s="77" t="s">
        <v>24</v>
      </c>
    </row>
    <row r="96" spans="1:66" x14ac:dyDescent="0.35">
      <c r="A96" s="114"/>
      <c r="B96" t="s">
        <v>245</v>
      </c>
      <c r="C96" s="11">
        <v>6</v>
      </c>
      <c r="D96" s="1">
        <f t="shared" si="12"/>
        <v>16</v>
      </c>
      <c r="E96" t="s">
        <v>246</v>
      </c>
      <c r="F96" t="s">
        <v>247</v>
      </c>
      <c r="AG96" s="107" t="s">
        <v>23</v>
      </c>
      <c r="AH96" s="77" t="s">
        <v>24</v>
      </c>
      <c r="AI96" s="80" t="s">
        <v>24</v>
      </c>
      <c r="AJ96" s="30" t="s">
        <v>24</v>
      </c>
      <c r="AM96" s="62"/>
      <c r="AN96" s="31"/>
      <c r="AO96" s="107" t="s">
        <v>24</v>
      </c>
      <c r="AP96" s="77" t="s">
        <v>24</v>
      </c>
      <c r="AQ96" s="51"/>
      <c r="AR96" s="30" t="s">
        <v>24</v>
      </c>
      <c r="AT96" s="52"/>
      <c r="AW96" s="107" t="s">
        <v>24</v>
      </c>
      <c r="AX96" s="77" t="s">
        <v>24</v>
      </c>
      <c r="AY96" s="80" t="s">
        <v>24</v>
      </c>
      <c r="AZ96" s="30" t="s">
        <v>24</v>
      </c>
      <c r="BC96" s="62"/>
      <c r="BD96" s="31"/>
      <c r="BE96" s="107" t="s">
        <v>24</v>
      </c>
      <c r="BF96" s="77" t="s">
        <v>24</v>
      </c>
      <c r="BG96" s="51"/>
      <c r="BH96" s="30" t="s">
        <v>24</v>
      </c>
      <c r="BJ96" s="52"/>
      <c r="BM96" s="107" t="s">
        <v>24</v>
      </c>
      <c r="BN96" s="77" t="s">
        <v>24</v>
      </c>
    </row>
    <row r="97" spans="1:66" x14ac:dyDescent="0.35">
      <c r="A97" s="114"/>
      <c r="B97" t="s">
        <v>206</v>
      </c>
      <c r="C97" s="11">
        <v>6</v>
      </c>
      <c r="D97" s="1">
        <f t="shared" si="12"/>
        <v>11</v>
      </c>
      <c r="E97" t="s">
        <v>207</v>
      </c>
      <c r="F97" t="s">
        <v>208</v>
      </c>
      <c r="AH97" s="77" t="s">
        <v>23</v>
      </c>
      <c r="AI97" s="62"/>
      <c r="AJ97" s="31"/>
      <c r="AK97" s="31"/>
      <c r="AM97" s="62"/>
      <c r="AN97" s="31"/>
      <c r="AO97" s="107" t="s">
        <v>24</v>
      </c>
      <c r="AP97" s="77" t="s">
        <v>24</v>
      </c>
      <c r="AQ97" s="62"/>
      <c r="AR97" s="31"/>
      <c r="AS97" s="107" t="s">
        <v>24</v>
      </c>
      <c r="AT97" s="77" t="s">
        <v>24</v>
      </c>
      <c r="AX97" s="77" t="s">
        <v>24</v>
      </c>
      <c r="AY97" s="62"/>
      <c r="AZ97" s="31"/>
      <c r="BA97" s="31"/>
      <c r="BC97" s="62"/>
      <c r="BD97" s="31"/>
      <c r="BE97" s="107" t="s">
        <v>24</v>
      </c>
      <c r="BF97" s="77" t="s">
        <v>24</v>
      </c>
      <c r="BG97" s="62"/>
      <c r="BH97" s="31"/>
      <c r="BI97" s="107" t="s">
        <v>24</v>
      </c>
      <c r="BJ97" s="77" t="s">
        <v>24</v>
      </c>
      <c r="BN97" s="77" t="s">
        <v>24</v>
      </c>
    </row>
    <row r="98" spans="1:66" x14ac:dyDescent="0.35">
      <c r="A98" s="114"/>
      <c r="B98" t="s">
        <v>209</v>
      </c>
      <c r="C98" s="11">
        <v>6</v>
      </c>
      <c r="D98" s="1">
        <f t="shared" si="12"/>
        <v>11</v>
      </c>
      <c r="E98" t="s">
        <v>210</v>
      </c>
      <c r="F98" t="s">
        <v>211</v>
      </c>
      <c r="AH98" s="77" t="s">
        <v>23</v>
      </c>
      <c r="AI98" s="62"/>
      <c r="AJ98" s="31"/>
      <c r="AK98" s="31"/>
      <c r="AM98" s="62"/>
      <c r="AN98" s="31"/>
      <c r="AO98" s="107" t="s">
        <v>24</v>
      </c>
      <c r="AP98" s="77" t="s">
        <v>24</v>
      </c>
      <c r="AQ98" s="62"/>
      <c r="AR98" s="31"/>
      <c r="AS98" s="107" t="s">
        <v>24</v>
      </c>
      <c r="AT98" s="77" t="s">
        <v>24</v>
      </c>
      <c r="AX98" s="77" t="s">
        <v>24</v>
      </c>
      <c r="AY98" s="62"/>
      <c r="AZ98" s="31"/>
      <c r="BA98" s="31"/>
      <c r="BC98" s="62"/>
      <c r="BD98" s="31"/>
      <c r="BE98" s="107" t="s">
        <v>24</v>
      </c>
      <c r="BF98" s="77" t="s">
        <v>24</v>
      </c>
      <c r="BG98" s="62"/>
      <c r="BH98" s="31"/>
      <c r="BI98" s="107" t="s">
        <v>24</v>
      </c>
      <c r="BJ98" s="77" t="s">
        <v>24</v>
      </c>
      <c r="BN98" s="77" t="s">
        <v>24</v>
      </c>
    </row>
    <row r="99" spans="1:66" x14ac:dyDescent="0.35">
      <c r="A99" s="114"/>
      <c r="B99" t="s">
        <v>212</v>
      </c>
      <c r="C99" s="11">
        <v>6</v>
      </c>
      <c r="D99" s="1">
        <f t="shared" si="12"/>
        <v>7</v>
      </c>
      <c r="E99" t="s">
        <v>213</v>
      </c>
      <c r="F99" t="s">
        <v>214</v>
      </c>
      <c r="AH99" s="77" t="s">
        <v>23</v>
      </c>
      <c r="AI99" s="62"/>
      <c r="AJ99" s="31"/>
      <c r="AK99" s="31"/>
      <c r="AL99" s="81" t="s">
        <v>24</v>
      </c>
      <c r="AM99" s="62"/>
      <c r="AN99" s="31"/>
      <c r="AO99" s="31"/>
      <c r="AP99" s="31"/>
      <c r="AQ99" s="62"/>
      <c r="AR99" s="31"/>
      <c r="AS99" s="31"/>
      <c r="AT99" s="81" t="s">
        <v>24</v>
      </c>
      <c r="AX99" s="77" t="s">
        <v>24</v>
      </c>
      <c r="AY99" s="62"/>
      <c r="AZ99" s="31"/>
      <c r="BA99" s="31"/>
      <c r="BB99" s="81" t="s">
        <v>24</v>
      </c>
      <c r="BC99" s="62"/>
      <c r="BD99" s="31"/>
      <c r="BE99" s="31"/>
      <c r="BF99" s="31"/>
      <c r="BG99" s="62"/>
      <c r="BH99" s="31"/>
      <c r="BI99" s="31"/>
      <c r="BJ99" s="81" t="s">
        <v>24</v>
      </c>
      <c r="BN99" s="77" t="s">
        <v>24</v>
      </c>
    </row>
    <row r="100" spans="1:66" x14ac:dyDescent="0.35">
      <c r="A100" s="114"/>
      <c r="B100" s="2" t="s">
        <v>817</v>
      </c>
      <c r="C100" s="28">
        <v>4</v>
      </c>
      <c r="D100" s="5">
        <f t="shared" si="12"/>
        <v>4</v>
      </c>
      <c r="E100" s="2" t="s">
        <v>815</v>
      </c>
      <c r="F100" s="2" t="s">
        <v>814</v>
      </c>
      <c r="AE100" s="51"/>
      <c r="AI100" s="104" t="s">
        <v>23</v>
      </c>
      <c r="AJ100" s="115" t="s">
        <v>24</v>
      </c>
      <c r="AK100" s="115" t="s">
        <v>24</v>
      </c>
      <c r="AL100" s="115" t="s">
        <v>24</v>
      </c>
      <c r="AM100" s="51"/>
      <c r="AN100" s="31"/>
      <c r="AO100" s="31"/>
      <c r="AP100" s="31"/>
      <c r="AQ100" s="62"/>
      <c r="AR100" s="31"/>
      <c r="AS100" s="31"/>
      <c r="AT100" s="52"/>
      <c r="AU100" s="51"/>
      <c r="AY100" s="62"/>
      <c r="AZ100" s="31"/>
      <c r="BA100" s="31"/>
      <c r="BC100" s="51"/>
      <c r="BD100" s="31"/>
      <c r="BE100" s="31"/>
      <c r="BF100" s="31"/>
      <c r="BG100" s="62"/>
      <c r="BH100" s="31"/>
      <c r="BI100" s="31"/>
      <c r="BJ100" s="52"/>
      <c r="BK100" s="51"/>
    </row>
    <row r="101" spans="1:66" x14ac:dyDescent="0.35">
      <c r="A101" s="114"/>
      <c r="B101" t="s">
        <v>182</v>
      </c>
      <c r="C101" s="11">
        <v>6</v>
      </c>
      <c r="D101" s="1">
        <f>COUNTIF(G101:AAN101,"✅")+COUNTIF(G101:AAN101,"✔️")</f>
        <v>8</v>
      </c>
      <c r="E101" t="s">
        <v>183</v>
      </c>
      <c r="F101" t="s">
        <v>184</v>
      </c>
      <c r="AE101" s="51"/>
      <c r="AF101"/>
      <c r="AG101"/>
      <c r="AI101" s="80" t="s">
        <v>23</v>
      </c>
      <c r="AJ101" s="30" t="s">
        <v>24</v>
      </c>
      <c r="AL101" s="63"/>
      <c r="AM101" s="76" t="s">
        <v>24</v>
      </c>
      <c r="AN101" s="31"/>
      <c r="AO101" s="31"/>
      <c r="AP101" s="31"/>
      <c r="AQ101" s="62"/>
      <c r="AR101" s="31"/>
      <c r="AT101" s="81" t="s">
        <v>24</v>
      </c>
      <c r="AU101" s="51"/>
      <c r="AV101"/>
      <c r="AW101"/>
      <c r="AY101" s="80" t="s">
        <v>24</v>
      </c>
      <c r="AZ101" s="30" t="s">
        <v>24</v>
      </c>
      <c r="BB101" s="63"/>
      <c r="BC101" s="76" t="s">
        <v>24</v>
      </c>
      <c r="BD101" s="31"/>
      <c r="BE101" s="31"/>
      <c r="BF101" s="31"/>
      <c r="BG101" s="62"/>
      <c r="BH101" s="31"/>
      <c r="BJ101" s="81" t="s">
        <v>24</v>
      </c>
      <c r="BK101" s="51"/>
      <c r="BL101"/>
      <c r="BM101"/>
    </row>
    <row r="102" spans="1:66" x14ac:dyDescent="0.35">
      <c r="A102" s="114"/>
      <c r="B102" t="s">
        <v>227</v>
      </c>
      <c r="C102" s="11">
        <v>6</v>
      </c>
      <c r="D102" s="1">
        <f t="shared" si="12"/>
        <v>12</v>
      </c>
      <c r="E102" t="s">
        <v>228</v>
      </c>
      <c r="F102" t="s">
        <v>229</v>
      </c>
      <c r="AE102" s="51"/>
      <c r="AI102" s="80" t="s">
        <v>23</v>
      </c>
      <c r="AJ102" s="30" t="s">
        <v>24</v>
      </c>
      <c r="AK102" s="31"/>
      <c r="AL102" s="63"/>
      <c r="AM102" s="76" t="s">
        <v>24</v>
      </c>
      <c r="AN102" s="75" t="s">
        <v>24</v>
      </c>
      <c r="AO102" s="107" t="s">
        <v>24</v>
      </c>
      <c r="AP102" s="31"/>
      <c r="AQ102" s="80" t="s">
        <v>24</v>
      </c>
      <c r="AR102" s="31"/>
      <c r="AS102" s="31"/>
      <c r="AT102" s="63"/>
      <c r="AU102" s="51"/>
      <c r="AY102" s="80" t="s">
        <v>24</v>
      </c>
      <c r="AZ102" s="30" t="s">
        <v>24</v>
      </c>
      <c r="BA102" s="31"/>
      <c r="BB102" s="63"/>
      <c r="BC102" s="76" t="s">
        <v>24</v>
      </c>
      <c r="BD102" s="75" t="s">
        <v>24</v>
      </c>
      <c r="BE102" s="107" t="s">
        <v>24</v>
      </c>
      <c r="BF102" s="31"/>
      <c r="BG102" s="80" t="s">
        <v>24</v>
      </c>
      <c r="BH102" s="31"/>
      <c r="BI102" s="31"/>
      <c r="BJ102" s="63"/>
      <c r="BK102" s="51"/>
    </row>
    <row r="103" spans="1:66" x14ac:dyDescent="0.35">
      <c r="A103" s="114"/>
      <c r="B103" t="s">
        <v>170</v>
      </c>
      <c r="C103" s="11">
        <v>6</v>
      </c>
      <c r="D103" s="1">
        <f t="shared" si="12"/>
        <v>10</v>
      </c>
      <c r="E103" t="s">
        <v>171</v>
      </c>
      <c r="F103" t="s">
        <v>172</v>
      </c>
      <c r="AE103" s="51"/>
      <c r="AI103" s="80" t="s">
        <v>23</v>
      </c>
      <c r="AJ103" s="30" t="s">
        <v>24</v>
      </c>
      <c r="AK103" s="31"/>
      <c r="AL103" s="63"/>
      <c r="AM103" s="76" t="s">
        <v>24</v>
      </c>
      <c r="AN103" s="31"/>
      <c r="AO103" s="31"/>
      <c r="AP103" s="31"/>
      <c r="AQ103" s="80" t="s">
        <v>24</v>
      </c>
      <c r="AR103" s="30" t="s">
        <v>24</v>
      </c>
      <c r="AS103" s="31"/>
      <c r="AT103" s="63"/>
      <c r="AU103" s="51"/>
      <c r="AY103" s="80" t="s">
        <v>24</v>
      </c>
      <c r="AZ103" s="30" t="s">
        <v>24</v>
      </c>
      <c r="BA103" s="31"/>
      <c r="BB103" s="63"/>
      <c r="BC103" s="76" t="s">
        <v>24</v>
      </c>
      <c r="BD103" s="31"/>
      <c r="BE103" s="31"/>
      <c r="BF103" s="31"/>
      <c r="BG103" s="80" t="s">
        <v>24</v>
      </c>
      <c r="BH103" s="30" t="s">
        <v>24</v>
      </c>
      <c r="BI103" s="31"/>
      <c r="BJ103" s="63"/>
      <c r="BK103" s="51"/>
    </row>
    <row r="104" spans="1:66" x14ac:dyDescent="0.35">
      <c r="A104" s="114"/>
      <c r="B104" t="s">
        <v>236</v>
      </c>
      <c r="C104" s="11">
        <v>4</v>
      </c>
      <c r="D104" s="1">
        <f t="shared" si="12"/>
        <v>10</v>
      </c>
      <c r="E104" t="s">
        <v>237</v>
      </c>
      <c r="F104" t="s">
        <v>238</v>
      </c>
      <c r="AE104" s="51"/>
      <c r="AF104"/>
      <c r="AG104"/>
      <c r="AH104"/>
      <c r="AI104" s="62"/>
      <c r="AJ104" s="30" t="s">
        <v>23</v>
      </c>
      <c r="AK104" s="30" t="s">
        <v>24</v>
      </c>
      <c r="AM104" s="51"/>
      <c r="AQ104" s="80" t="s">
        <v>24</v>
      </c>
      <c r="AR104" s="30" t="s">
        <v>24</v>
      </c>
      <c r="AS104" s="30" t="s">
        <v>24</v>
      </c>
      <c r="AT104" s="52"/>
      <c r="AU104" s="51"/>
      <c r="AV104"/>
      <c r="AW104"/>
      <c r="AX104"/>
      <c r="AY104" s="62"/>
      <c r="AZ104" s="30" t="s">
        <v>24</v>
      </c>
      <c r="BA104" s="30" t="s">
        <v>24</v>
      </c>
      <c r="BC104" s="51"/>
      <c r="BG104" s="80" t="s">
        <v>24</v>
      </c>
      <c r="BH104" s="30" t="s">
        <v>24</v>
      </c>
      <c r="BI104" s="30" t="s">
        <v>24</v>
      </c>
      <c r="BJ104" s="52"/>
      <c r="BK104" s="51"/>
      <c r="BL104"/>
      <c r="BM104"/>
      <c r="BN104"/>
    </row>
    <row r="105" spans="1:66" x14ac:dyDescent="0.35">
      <c r="A105" s="114"/>
      <c r="B105" t="s">
        <v>272</v>
      </c>
      <c r="C105" s="11">
        <v>6</v>
      </c>
      <c r="D105" s="1">
        <f t="shared" si="12"/>
        <v>12</v>
      </c>
      <c r="E105" t="s">
        <v>273</v>
      </c>
      <c r="F105" t="s">
        <v>196</v>
      </c>
      <c r="AE105" s="51"/>
      <c r="AF105"/>
      <c r="AG105"/>
      <c r="AI105" s="62"/>
      <c r="AJ105" s="30" t="s">
        <v>23</v>
      </c>
      <c r="AK105" s="30" t="s">
        <v>24</v>
      </c>
      <c r="AL105" s="81" t="s">
        <v>24</v>
      </c>
      <c r="AM105" s="51"/>
      <c r="AP105" s="31"/>
      <c r="AQ105" s="62"/>
      <c r="AR105" s="30" t="s">
        <v>24</v>
      </c>
      <c r="AS105" s="30" t="s">
        <v>24</v>
      </c>
      <c r="AT105" s="81" t="s">
        <v>24</v>
      </c>
      <c r="AU105" s="51"/>
      <c r="AV105"/>
      <c r="AW105"/>
      <c r="AY105" s="62"/>
      <c r="AZ105" s="30" t="s">
        <v>24</v>
      </c>
      <c r="BA105" s="30" t="s">
        <v>24</v>
      </c>
      <c r="BB105" s="81" t="s">
        <v>24</v>
      </c>
      <c r="BC105" s="51"/>
      <c r="BF105" s="31"/>
      <c r="BG105" s="62"/>
      <c r="BH105" s="30" t="s">
        <v>24</v>
      </c>
      <c r="BI105" s="30" t="s">
        <v>24</v>
      </c>
      <c r="BJ105" s="81" t="s">
        <v>24</v>
      </c>
      <c r="BK105" s="51"/>
      <c r="BL105"/>
      <c r="BM105"/>
    </row>
    <row r="106" spans="1:66" x14ac:dyDescent="0.35">
      <c r="A106" s="114"/>
      <c r="B106" t="s">
        <v>194</v>
      </c>
      <c r="C106" s="11">
        <v>6</v>
      </c>
      <c r="D106" s="1">
        <f t="shared" si="12"/>
        <v>12</v>
      </c>
      <c r="E106" t="s">
        <v>195</v>
      </c>
      <c r="F106" t="s">
        <v>196</v>
      </c>
      <c r="AF106"/>
      <c r="AG106"/>
      <c r="AI106" s="62"/>
      <c r="AJ106" s="30" t="s">
        <v>23</v>
      </c>
      <c r="AK106" s="30" t="s">
        <v>24</v>
      </c>
      <c r="AL106" s="81" t="s">
        <v>24</v>
      </c>
      <c r="AM106" s="62"/>
      <c r="AP106" s="31"/>
      <c r="AQ106" s="80" t="s">
        <v>24</v>
      </c>
      <c r="AR106" s="30" t="s">
        <v>24</v>
      </c>
      <c r="AS106" s="30" t="s">
        <v>24</v>
      </c>
      <c r="AT106" s="52"/>
      <c r="AV106"/>
      <c r="AW106"/>
      <c r="AY106" s="62"/>
      <c r="AZ106" s="30" t="s">
        <v>24</v>
      </c>
      <c r="BA106" s="30" t="s">
        <v>24</v>
      </c>
      <c r="BB106" s="81" t="s">
        <v>24</v>
      </c>
      <c r="BC106" s="62"/>
      <c r="BF106" s="31"/>
      <c r="BG106" s="80" t="s">
        <v>24</v>
      </c>
      <c r="BH106" s="30" t="s">
        <v>24</v>
      </c>
      <c r="BI106" s="30" t="s">
        <v>24</v>
      </c>
      <c r="BJ106" s="52"/>
      <c r="BL106"/>
      <c r="BM106"/>
    </row>
    <row r="107" spans="1:66" s="8" customFormat="1" ht="5.25" customHeight="1" x14ac:dyDescent="0.35">
      <c r="C107" s="18"/>
      <c r="D107" s="10"/>
      <c r="G107" s="50"/>
      <c r="H107" s="38"/>
      <c r="I107" s="38"/>
      <c r="J107" s="38"/>
      <c r="K107" s="50"/>
      <c r="L107" s="38"/>
      <c r="M107" s="38"/>
      <c r="N107" s="38"/>
      <c r="O107" s="66"/>
      <c r="P107" s="33"/>
      <c r="Q107" s="33"/>
      <c r="R107" s="33"/>
      <c r="S107" s="66"/>
      <c r="T107" s="33"/>
      <c r="U107" s="33"/>
      <c r="V107" s="33"/>
      <c r="W107" s="66"/>
      <c r="X107" s="33"/>
      <c r="Y107" s="33"/>
      <c r="Z107" s="33"/>
      <c r="AA107" s="66"/>
      <c r="AB107" s="33"/>
      <c r="AC107" s="33"/>
      <c r="AD107" s="33"/>
      <c r="AE107" s="66"/>
      <c r="AF107" s="33"/>
      <c r="AG107" s="33"/>
      <c r="AH107" s="33"/>
      <c r="AI107" s="84"/>
      <c r="AL107" s="83"/>
      <c r="AU107" s="66"/>
      <c r="AV107" s="33"/>
      <c r="AW107" s="33"/>
      <c r="AX107" s="33"/>
      <c r="AY107" s="84"/>
      <c r="BB107" s="83"/>
      <c r="BK107" s="66"/>
      <c r="BL107" s="33"/>
      <c r="BM107" s="33"/>
      <c r="BN107" s="33"/>
    </row>
    <row r="108" spans="1:66" x14ac:dyDescent="0.35">
      <c r="A108" s="199" t="s">
        <v>775</v>
      </c>
      <c r="B108" t="s">
        <v>281</v>
      </c>
      <c r="C108" s="11">
        <v>6</v>
      </c>
      <c r="D108" s="1">
        <f t="shared" ref="D108:D115" si="13">COUNTIF(G108:AAN108,"✅")+COUNTIF(G108:AAN108,"✔️")</f>
        <v>8</v>
      </c>
      <c r="E108" t="s">
        <v>282</v>
      </c>
      <c r="F108" t="s">
        <v>283</v>
      </c>
      <c r="AA108" s="95" t="s">
        <v>23</v>
      </c>
      <c r="AB108" s="102" t="s">
        <v>24</v>
      </c>
      <c r="AC108" s="99" t="s">
        <v>24</v>
      </c>
      <c r="AD108" s="53" t="s">
        <v>24</v>
      </c>
      <c r="AE108" s="76" t="s">
        <v>24</v>
      </c>
      <c r="AF108" s="75" t="s">
        <v>24</v>
      </c>
      <c r="AG108" s="107" t="s">
        <v>24</v>
      </c>
      <c r="AH108" s="77" t="s">
        <v>24</v>
      </c>
      <c r="AM108" s="62"/>
      <c r="AN108" s="31"/>
      <c r="AO108" s="31"/>
      <c r="AP108" s="31"/>
      <c r="AQ108" s="62"/>
      <c r="AR108" s="31"/>
      <c r="AS108" s="31"/>
      <c r="AT108" s="31"/>
      <c r="AY108" s="62"/>
      <c r="AZ108" s="31"/>
      <c r="BA108" s="31"/>
      <c r="BB108" s="31"/>
    </row>
    <row r="109" spans="1:66" x14ac:dyDescent="0.35">
      <c r="A109" s="199"/>
      <c r="B109" t="s">
        <v>284</v>
      </c>
      <c r="C109" s="11">
        <v>6</v>
      </c>
      <c r="D109" s="1">
        <f t="shared" si="13"/>
        <v>4</v>
      </c>
      <c r="E109" t="s">
        <v>285</v>
      </c>
      <c r="F109" t="s">
        <v>286</v>
      </c>
      <c r="AC109" s="99" t="s">
        <v>23</v>
      </c>
      <c r="AD109" s="53" t="s">
        <v>24</v>
      </c>
      <c r="AI109" s="80" t="s">
        <v>24</v>
      </c>
      <c r="AJ109" s="30" t="s">
        <v>24</v>
      </c>
      <c r="AM109" s="62"/>
      <c r="AN109" s="31"/>
      <c r="AO109" s="31"/>
      <c r="AP109" s="31"/>
      <c r="AQ109" s="62"/>
      <c r="AR109" s="31"/>
      <c r="AS109" s="31"/>
      <c r="AT109" s="31"/>
      <c r="AY109" s="62"/>
      <c r="AZ109" s="31"/>
      <c r="BA109" s="31"/>
      <c r="BB109" s="31"/>
    </row>
    <row r="110" spans="1:66" x14ac:dyDescent="0.35">
      <c r="A110" s="199"/>
      <c r="B110" t="s">
        <v>287</v>
      </c>
      <c r="C110" s="11">
        <v>6</v>
      </c>
      <c r="D110" s="1">
        <f t="shared" si="13"/>
        <v>4</v>
      </c>
      <c r="E110" t="s">
        <v>288</v>
      </c>
      <c r="F110" t="s">
        <v>289</v>
      </c>
      <c r="AG110" s="107" t="s">
        <v>23</v>
      </c>
      <c r="AH110" s="77" t="s">
        <v>24</v>
      </c>
      <c r="AK110" s="30" t="s">
        <v>24</v>
      </c>
      <c r="AL110" s="81" t="s">
        <v>24</v>
      </c>
      <c r="AM110" s="62"/>
      <c r="AN110" s="31"/>
      <c r="AO110" s="31"/>
      <c r="AP110" s="31"/>
      <c r="AQ110" s="62"/>
      <c r="AR110" s="31"/>
      <c r="AS110" s="31"/>
      <c r="AT110" s="31"/>
      <c r="AY110" s="62"/>
      <c r="AZ110" s="31"/>
      <c r="BA110" s="31"/>
      <c r="BB110" s="31"/>
    </row>
    <row r="111" spans="1:66" x14ac:dyDescent="0.35">
      <c r="A111" s="199"/>
      <c r="B111" t="s">
        <v>290</v>
      </c>
      <c r="C111" s="11">
        <v>6</v>
      </c>
      <c r="D111" s="1">
        <f t="shared" si="13"/>
        <v>4</v>
      </c>
      <c r="E111" t="s">
        <v>291</v>
      </c>
      <c r="F111" t="s">
        <v>292</v>
      </c>
      <c r="AE111" s="76" t="s">
        <v>23</v>
      </c>
      <c r="AF111" s="75" t="s">
        <v>24</v>
      </c>
      <c r="AI111" s="80" t="s">
        <v>24</v>
      </c>
      <c r="AJ111" s="30" t="s">
        <v>24</v>
      </c>
      <c r="AM111" s="62"/>
      <c r="AN111" s="31"/>
      <c r="AO111" s="31"/>
      <c r="AP111" s="31"/>
      <c r="AQ111" s="62"/>
      <c r="AR111" s="31"/>
      <c r="AS111" s="31"/>
      <c r="AT111" s="31"/>
      <c r="AY111" s="62"/>
      <c r="AZ111" s="31"/>
      <c r="BA111" s="31"/>
      <c r="BB111" s="31"/>
    </row>
    <row r="112" spans="1:66" x14ac:dyDescent="0.35">
      <c r="A112" s="199"/>
      <c r="B112" t="s">
        <v>293</v>
      </c>
      <c r="C112" s="11">
        <v>6</v>
      </c>
      <c r="D112" s="1">
        <f t="shared" si="13"/>
        <v>4</v>
      </c>
      <c r="E112" t="s">
        <v>294</v>
      </c>
      <c r="F112" t="s">
        <v>295</v>
      </c>
      <c r="AC112" s="99" t="s">
        <v>23</v>
      </c>
      <c r="AD112" s="53" t="s">
        <v>24</v>
      </c>
      <c r="AK112" s="30" t="s">
        <v>24</v>
      </c>
      <c r="AL112" s="81" t="s">
        <v>24</v>
      </c>
      <c r="AM112" s="62"/>
      <c r="AN112" s="31"/>
      <c r="AO112" s="31"/>
      <c r="AP112" s="31"/>
      <c r="AQ112" s="62"/>
      <c r="AR112" s="31"/>
      <c r="AS112" s="31"/>
      <c r="AT112" s="31"/>
      <c r="AY112" s="62"/>
      <c r="AZ112" s="31"/>
      <c r="BA112" s="31"/>
      <c r="BB112" s="31"/>
    </row>
    <row r="113" spans="1:66" x14ac:dyDescent="0.35">
      <c r="A113" s="199"/>
      <c r="B113" t="s">
        <v>296</v>
      </c>
      <c r="C113" s="11">
        <v>6</v>
      </c>
      <c r="D113" s="1">
        <f t="shared" si="13"/>
        <v>4</v>
      </c>
      <c r="E113" t="s">
        <v>297</v>
      </c>
      <c r="F113" t="s">
        <v>298</v>
      </c>
      <c r="AG113" s="30" t="s">
        <v>23</v>
      </c>
      <c r="AH113" s="81" t="s">
        <v>24</v>
      </c>
      <c r="AK113" s="30" t="s">
        <v>24</v>
      </c>
      <c r="AL113" s="81" t="s">
        <v>24</v>
      </c>
      <c r="AM113" s="62"/>
      <c r="AN113" s="31"/>
      <c r="AO113" s="31"/>
      <c r="AP113" s="31"/>
      <c r="AQ113" s="62"/>
      <c r="AR113" s="31"/>
      <c r="AS113" s="31"/>
      <c r="AT113" s="31"/>
      <c r="AY113" s="62"/>
      <c r="AZ113" s="31"/>
      <c r="BA113" s="31"/>
      <c r="BB113" s="31"/>
    </row>
    <row r="114" spans="1:66" x14ac:dyDescent="0.35">
      <c r="A114" s="199"/>
      <c r="B114" t="s">
        <v>299</v>
      </c>
      <c r="C114" s="11">
        <v>6</v>
      </c>
      <c r="D114" s="1">
        <f t="shared" si="13"/>
        <v>5</v>
      </c>
      <c r="E114" t="s">
        <v>300</v>
      </c>
      <c r="F114" t="s">
        <v>301</v>
      </c>
      <c r="AA114" s="80" t="s">
        <v>23</v>
      </c>
      <c r="AB114" s="102" t="s">
        <v>24</v>
      </c>
      <c r="AJ114" s="30" t="s">
        <v>24</v>
      </c>
      <c r="AK114" s="30" t="s">
        <v>24</v>
      </c>
      <c r="AL114" s="81" t="s">
        <v>24</v>
      </c>
      <c r="AM114" s="62"/>
      <c r="AN114" s="31"/>
      <c r="AO114" s="31"/>
      <c r="AP114" s="31"/>
      <c r="AQ114" s="62"/>
      <c r="AR114" s="31"/>
      <c r="AS114" s="31"/>
      <c r="AT114" s="31"/>
      <c r="AY114" s="62"/>
      <c r="AZ114" s="31"/>
      <c r="BA114" s="31"/>
      <c r="BB114" s="31"/>
    </row>
    <row r="115" spans="1:66" x14ac:dyDescent="0.35">
      <c r="A115" s="199"/>
      <c r="B115" t="s">
        <v>302</v>
      </c>
      <c r="C115" s="11">
        <v>6</v>
      </c>
      <c r="D115" s="1">
        <f t="shared" si="13"/>
        <v>2</v>
      </c>
      <c r="E115" t="s">
        <v>303</v>
      </c>
      <c r="F115" t="s">
        <v>304</v>
      </c>
      <c r="AK115" s="30" t="s">
        <v>23</v>
      </c>
      <c r="AL115" s="81" t="s">
        <v>24</v>
      </c>
      <c r="AM115" s="62"/>
      <c r="AN115" s="31"/>
      <c r="AO115" s="31"/>
      <c r="AP115" s="31"/>
      <c r="AQ115" s="62"/>
      <c r="AR115" s="31"/>
      <c r="AS115" s="31"/>
      <c r="AT115" s="31"/>
      <c r="AY115" s="62"/>
      <c r="AZ115" s="31"/>
      <c r="BA115" s="31"/>
      <c r="BB115" s="31"/>
    </row>
    <row r="116" spans="1:66" s="8" customFormat="1" ht="6.75" customHeight="1" x14ac:dyDescent="0.35">
      <c r="C116" s="18"/>
      <c r="D116" s="10"/>
      <c r="G116" s="50"/>
      <c r="H116" s="38"/>
      <c r="I116" s="38"/>
      <c r="J116" s="38"/>
      <c r="K116" s="50"/>
      <c r="L116" s="38"/>
      <c r="M116" s="38"/>
      <c r="N116" s="38"/>
      <c r="O116" s="66"/>
      <c r="P116" s="33"/>
      <c r="Q116" s="33"/>
      <c r="R116" s="33"/>
      <c r="S116" s="66"/>
      <c r="T116" s="33"/>
      <c r="U116" s="33"/>
      <c r="V116" s="33"/>
      <c r="W116" s="66"/>
      <c r="X116" s="33"/>
      <c r="Y116" s="33"/>
      <c r="Z116" s="33"/>
      <c r="AA116" s="66"/>
      <c r="AB116" s="33"/>
      <c r="AC116" s="33"/>
      <c r="AD116" s="33"/>
      <c r="AE116" s="66"/>
      <c r="AF116" s="33"/>
      <c r="AG116" s="33"/>
      <c r="AH116" s="33"/>
      <c r="AI116" s="84"/>
      <c r="AL116" s="83"/>
      <c r="AU116" s="66"/>
      <c r="AV116" s="33"/>
      <c r="AW116" s="33"/>
      <c r="AX116" s="33"/>
      <c r="AY116" s="84"/>
      <c r="BB116" s="83"/>
      <c r="BK116" s="66"/>
      <c r="BL116" s="33"/>
      <c r="BM116" s="33"/>
      <c r="BN116" s="33"/>
    </row>
    <row r="117" spans="1:66" x14ac:dyDescent="0.35">
      <c r="A117" s="160" t="s">
        <v>280</v>
      </c>
      <c r="B117" t="s">
        <v>776</v>
      </c>
      <c r="D117" s="1">
        <f t="shared" ref="D117:D133" si="14">COUNTIF(G117:AAN117,"✅")+COUNTIF(G117:AAN117,"✔️")</f>
        <v>21</v>
      </c>
      <c r="E117" t="s">
        <v>306</v>
      </c>
      <c r="F117" t="s">
        <v>307</v>
      </c>
      <c r="AM117" s="30" t="s">
        <v>23</v>
      </c>
      <c r="AN117" s="30" t="s">
        <v>24</v>
      </c>
      <c r="AO117" s="30" t="s">
        <v>24</v>
      </c>
      <c r="AQ117" s="30" t="s">
        <v>24</v>
      </c>
      <c r="AR117" s="30" t="s">
        <v>24</v>
      </c>
      <c r="AS117" s="30" t="s">
        <v>24</v>
      </c>
      <c r="AU117" s="30" t="s">
        <v>24</v>
      </c>
      <c r="AV117" s="30" t="s">
        <v>24</v>
      </c>
      <c r="AW117" s="30" t="s">
        <v>24</v>
      </c>
      <c r="AY117" s="30" t="s">
        <v>24</v>
      </c>
      <c r="AZ117" s="30" t="s">
        <v>24</v>
      </c>
      <c r="BA117" s="30" t="s">
        <v>24</v>
      </c>
      <c r="BC117" s="30" t="s">
        <v>24</v>
      </c>
      <c r="BD117" s="30" t="s">
        <v>24</v>
      </c>
      <c r="BE117" s="30" t="s">
        <v>24</v>
      </c>
      <c r="BG117" s="30" t="s">
        <v>24</v>
      </c>
      <c r="BH117" s="30" t="s">
        <v>24</v>
      </c>
      <c r="BI117" s="30" t="s">
        <v>24</v>
      </c>
      <c r="BK117" s="30" t="s">
        <v>24</v>
      </c>
      <c r="BL117" s="30" t="s">
        <v>24</v>
      </c>
      <c r="BM117" s="30" t="s">
        <v>24</v>
      </c>
    </row>
    <row r="118" spans="1:66" x14ac:dyDescent="0.35">
      <c r="A118" s="160"/>
      <c r="B118" t="s">
        <v>777</v>
      </c>
      <c r="D118" s="1">
        <f t="shared" si="14"/>
        <v>21</v>
      </c>
      <c r="E118" t="s">
        <v>309</v>
      </c>
      <c r="F118" t="s">
        <v>310</v>
      </c>
      <c r="AM118" s="30" t="s">
        <v>23</v>
      </c>
      <c r="AN118" s="30" t="s">
        <v>24</v>
      </c>
      <c r="AO118" s="30" t="s">
        <v>24</v>
      </c>
      <c r="AQ118" s="30" t="s">
        <v>24</v>
      </c>
      <c r="AR118" s="30" t="s">
        <v>24</v>
      </c>
      <c r="AS118" s="30" t="s">
        <v>24</v>
      </c>
      <c r="AU118" s="30" t="s">
        <v>24</v>
      </c>
      <c r="AV118" s="30" t="s">
        <v>24</v>
      </c>
      <c r="AW118" s="30" t="s">
        <v>24</v>
      </c>
      <c r="AY118" s="30" t="s">
        <v>24</v>
      </c>
      <c r="AZ118" s="30" t="s">
        <v>24</v>
      </c>
      <c r="BA118" s="30" t="s">
        <v>24</v>
      </c>
      <c r="BC118" s="30" t="s">
        <v>24</v>
      </c>
      <c r="BD118" s="30" t="s">
        <v>24</v>
      </c>
      <c r="BE118" s="30" t="s">
        <v>24</v>
      </c>
      <c r="BG118" s="30" t="s">
        <v>24</v>
      </c>
      <c r="BH118" s="30" t="s">
        <v>24</v>
      </c>
      <c r="BI118" s="30" t="s">
        <v>24</v>
      </c>
      <c r="BK118" s="30" t="s">
        <v>24</v>
      </c>
      <c r="BL118" s="30" t="s">
        <v>24</v>
      </c>
      <c r="BM118" s="30" t="s">
        <v>24</v>
      </c>
    </row>
    <row r="119" spans="1:66" x14ac:dyDescent="0.35">
      <c r="A119" s="160"/>
      <c r="B119" t="s">
        <v>778</v>
      </c>
      <c r="D119" s="1">
        <f t="shared" si="14"/>
        <v>21</v>
      </c>
      <c r="E119" t="s">
        <v>312</v>
      </c>
      <c r="F119" t="s">
        <v>313</v>
      </c>
      <c r="AM119" s="30" t="s">
        <v>23</v>
      </c>
      <c r="AN119" s="30" t="s">
        <v>24</v>
      </c>
      <c r="AO119" s="30" t="s">
        <v>24</v>
      </c>
      <c r="AQ119" s="30" t="s">
        <v>24</v>
      </c>
      <c r="AR119" s="30" t="s">
        <v>24</v>
      </c>
      <c r="AS119" s="30" t="s">
        <v>24</v>
      </c>
      <c r="AU119" s="30" t="s">
        <v>24</v>
      </c>
      <c r="AV119" s="30" t="s">
        <v>24</v>
      </c>
      <c r="AW119" s="30" t="s">
        <v>24</v>
      </c>
      <c r="AY119" s="30" t="s">
        <v>24</v>
      </c>
      <c r="AZ119" s="30" t="s">
        <v>24</v>
      </c>
      <c r="BA119" s="30" t="s">
        <v>24</v>
      </c>
      <c r="BC119" s="30" t="s">
        <v>24</v>
      </c>
      <c r="BD119" s="30" t="s">
        <v>24</v>
      </c>
      <c r="BE119" s="30" t="s">
        <v>24</v>
      </c>
      <c r="BG119" s="30" t="s">
        <v>24</v>
      </c>
      <c r="BH119" s="30" t="s">
        <v>24</v>
      </c>
      <c r="BI119" s="30" t="s">
        <v>24</v>
      </c>
      <c r="BK119" s="30" t="s">
        <v>24</v>
      </c>
      <c r="BL119" s="30" t="s">
        <v>24</v>
      </c>
      <c r="BM119" s="30" t="s">
        <v>24</v>
      </c>
    </row>
    <row r="120" spans="1:66" x14ac:dyDescent="0.35">
      <c r="A120" s="160"/>
      <c r="B120" t="s">
        <v>779</v>
      </c>
      <c r="D120" s="1">
        <f t="shared" si="14"/>
        <v>21</v>
      </c>
      <c r="E120" t="s">
        <v>315</v>
      </c>
      <c r="F120" t="s">
        <v>316</v>
      </c>
      <c r="AM120" s="30" t="s">
        <v>23</v>
      </c>
      <c r="AN120" s="30" t="s">
        <v>24</v>
      </c>
      <c r="AO120" s="30" t="s">
        <v>24</v>
      </c>
      <c r="AQ120" s="30" t="s">
        <v>24</v>
      </c>
      <c r="AR120" s="30" t="s">
        <v>24</v>
      </c>
      <c r="AS120" s="30" t="s">
        <v>24</v>
      </c>
      <c r="AU120" s="30" t="s">
        <v>24</v>
      </c>
      <c r="AV120" s="30" t="s">
        <v>24</v>
      </c>
      <c r="AW120" s="30" t="s">
        <v>24</v>
      </c>
      <c r="AY120" s="30" t="s">
        <v>24</v>
      </c>
      <c r="AZ120" s="30" t="s">
        <v>24</v>
      </c>
      <c r="BA120" s="30" t="s">
        <v>24</v>
      </c>
      <c r="BC120" s="30" t="s">
        <v>24</v>
      </c>
      <c r="BD120" s="30" t="s">
        <v>24</v>
      </c>
      <c r="BE120" s="30" t="s">
        <v>24</v>
      </c>
      <c r="BG120" s="30" t="s">
        <v>24</v>
      </c>
      <c r="BH120" s="30" t="s">
        <v>24</v>
      </c>
      <c r="BI120" s="30" t="s">
        <v>24</v>
      </c>
      <c r="BK120" s="30" t="s">
        <v>24</v>
      </c>
      <c r="BL120" s="30" t="s">
        <v>24</v>
      </c>
      <c r="BM120" s="30" t="s">
        <v>24</v>
      </c>
    </row>
    <row r="121" spans="1:66" x14ac:dyDescent="0.35">
      <c r="A121" s="160"/>
      <c r="B121" t="s">
        <v>780</v>
      </c>
      <c r="D121" s="1">
        <f t="shared" si="14"/>
        <v>21</v>
      </c>
      <c r="E121" t="s">
        <v>318</v>
      </c>
      <c r="F121" t="s">
        <v>319</v>
      </c>
      <c r="AM121" s="30" t="s">
        <v>23</v>
      </c>
      <c r="AN121" s="30" t="s">
        <v>24</v>
      </c>
      <c r="AO121" s="30" t="s">
        <v>24</v>
      </c>
      <c r="AQ121" s="30" t="s">
        <v>24</v>
      </c>
      <c r="AR121" s="30" t="s">
        <v>24</v>
      </c>
      <c r="AS121" s="30" t="s">
        <v>24</v>
      </c>
      <c r="AU121" s="30" t="s">
        <v>24</v>
      </c>
      <c r="AV121" s="30" t="s">
        <v>24</v>
      </c>
      <c r="AW121" s="30" t="s">
        <v>24</v>
      </c>
      <c r="AY121" s="30" t="s">
        <v>24</v>
      </c>
      <c r="AZ121" s="30" t="s">
        <v>24</v>
      </c>
      <c r="BA121" s="30" t="s">
        <v>24</v>
      </c>
      <c r="BC121" s="30" t="s">
        <v>24</v>
      </c>
      <c r="BD121" s="30" t="s">
        <v>24</v>
      </c>
      <c r="BE121" s="30" t="s">
        <v>24</v>
      </c>
      <c r="BG121" s="30" t="s">
        <v>24</v>
      </c>
      <c r="BH121" s="30" t="s">
        <v>24</v>
      </c>
      <c r="BI121" s="30" t="s">
        <v>24</v>
      </c>
      <c r="BK121" s="30" t="s">
        <v>24</v>
      </c>
      <c r="BL121" s="30" t="s">
        <v>24</v>
      </c>
      <c r="BM121" s="30" t="s">
        <v>24</v>
      </c>
    </row>
    <row r="122" spans="1:66" x14ac:dyDescent="0.35">
      <c r="A122" s="160"/>
      <c r="B122" t="s">
        <v>781</v>
      </c>
      <c r="D122" s="1">
        <f t="shared" si="14"/>
        <v>21</v>
      </c>
      <c r="E122" t="s">
        <v>321</v>
      </c>
      <c r="F122" t="s">
        <v>322</v>
      </c>
      <c r="G122" s="51"/>
      <c r="H122"/>
      <c r="I122"/>
      <c r="J122"/>
      <c r="K122" s="51"/>
      <c r="L122"/>
      <c r="M122"/>
      <c r="N122"/>
      <c r="O122" s="51"/>
      <c r="P122"/>
      <c r="Q122"/>
      <c r="R122"/>
      <c r="S122" s="51"/>
      <c r="T122"/>
      <c r="U122"/>
      <c r="V122"/>
      <c r="W122" s="51"/>
      <c r="X122"/>
      <c r="Y122"/>
      <c r="Z122"/>
      <c r="AA122" s="51"/>
      <c r="AB122"/>
      <c r="AC122"/>
      <c r="AD122"/>
      <c r="AE122" s="51"/>
      <c r="AF122"/>
      <c r="AG122"/>
      <c r="AH122"/>
      <c r="AM122" s="30" t="s">
        <v>23</v>
      </c>
      <c r="AN122" s="30" t="s">
        <v>24</v>
      </c>
      <c r="AO122" s="30" t="s">
        <v>24</v>
      </c>
      <c r="AQ122" s="30" t="s">
        <v>24</v>
      </c>
      <c r="AR122" s="30" t="s">
        <v>24</v>
      </c>
      <c r="AS122" s="30" t="s">
        <v>24</v>
      </c>
      <c r="AU122" s="30" t="s">
        <v>24</v>
      </c>
      <c r="AV122" s="30" t="s">
        <v>24</v>
      </c>
      <c r="AW122" s="30" t="s">
        <v>24</v>
      </c>
      <c r="AX122"/>
      <c r="AY122" s="30" t="s">
        <v>24</v>
      </c>
      <c r="AZ122" s="30" t="s">
        <v>24</v>
      </c>
      <c r="BA122" s="30" t="s">
        <v>24</v>
      </c>
      <c r="BC122" s="30" t="s">
        <v>24</v>
      </c>
      <c r="BD122" s="30" t="s">
        <v>24</v>
      </c>
      <c r="BE122" s="30" t="s">
        <v>24</v>
      </c>
      <c r="BG122" s="30" t="s">
        <v>24</v>
      </c>
      <c r="BH122" s="30" t="s">
        <v>24</v>
      </c>
      <c r="BI122" s="30" t="s">
        <v>24</v>
      </c>
      <c r="BK122" s="30" t="s">
        <v>24</v>
      </c>
      <c r="BL122" s="30" t="s">
        <v>24</v>
      </c>
      <c r="BM122" s="30" t="s">
        <v>24</v>
      </c>
      <c r="BN122"/>
    </row>
    <row r="123" spans="1:66" x14ac:dyDescent="0.35">
      <c r="A123" s="160"/>
      <c r="B123" t="s">
        <v>782</v>
      </c>
      <c r="D123" s="1">
        <f t="shared" si="14"/>
        <v>21</v>
      </c>
      <c r="E123" t="s">
        <v>324</v>
      </c>
      <c r="F123" t="s">
        <v>325</v>
      </c>
      <c r="G123" s="51"/>
      <c r="H123"/>
      <c r="I123"/>
      <c r="J123"/>
      <c r="K123" s="51"/>
      <c r="L123"/>
      <c r="M123"/>
      <c r="N123"/>
      <c r="O123" s="51"/>
      <c r="P123"/>
      <c r="Q123"/>
      <c r="R123"/>
      <c r="S123" s="51"/>
      <c r="T123"/>
      <c r="U123"/>
      <c r="V123"/>
      <c r="W123" s="51"/>
      <c r="X123"/>
      <c r="Y123"/>
      <c r="Z123"/>
      <c r="AA123" s="51"/>
      <c r="AB123"/>
      <c r="AC123"/>
      <c r="AD123"/>
      <c r="AE123" s="51"/>
      <c r="AF123"/>
      <c r="AG123"/>
      <c r="AH123"/>
      <c r="AM123" s="30" t="s">
        <v>23</v>
      </c>
      <c r="AN123" s="30" t="s">
        <v>24</v>
      </c>
      <c r="AO123" s="30" t="s">
        <v>24</v>
      </c>
      <c r="AQ123" s="30" t="s">
        <v>24</v>
      </c>
      <c r="AR123" s="30" t="s">
        <v>24</v>
      </c>
      <c r="AS123" s="30" t="s">
        <v>24</v>
      </c>
      <c r="AU123" s="30" t="s">
        <v>24</v>
      </c>
      <c r="AV123" s="30" t="s">
        <v>24</v>
      </c>
      <c r="AW123" s="30" t="s">
        <v>24</v>
      </c>
      <c r="AX123"/>
      <c r="AY123" s="30" t="s">
        <v>24</v>
      </c>
      <c r="AZ123" s="30" t="s">
        <v>24</v>
      </c>
      <c r="BA123" s="30" t="s">
        <v>24</v>
      </c>
      <c r="BC123" s="30" t="s">
        <v>24</v>
      </c>
      <c r="BD123" s="30" t="s">
        <v>24</v>
      </c>
      <c r="BE123" s="30" t="s">
        <v>24</v>
      </c>
      <c r="BG123" s="30" t="s">
        <v>24</v>
      </c>
      <c r="BH123" s="30" t="s">
        <v>24</v>
      </c>
      <c r="BI123" s="30" t="s">
        <v>24</v>
      </c>
      <c r="BK123" s="30" t="s">
        <v>24</v>
      </c>
      <c r="BL123" s="30" t="s">
        <v>24</v>
      </c>
      <c r="BM123" s="30" t="s">
        <v>24</v>
      </c>
      <c r="BN123"/>
    </row>
    <row r="124" spans="1:66" x14ac:dyDescent="0.35">
      <c r="A124" s="160"/>
      <c r="B124" t="s">
        <v>783</v>
      </c>
      <c r="D124" s="1">
        <f t="shared" si="14"/>
        <v>21</v>
      </c>
      <c r="E124" t="s">
        <v>327</v>
      </c>
      <c r="F124" t="s">
        <v>328</v>
      </c>
      <c r="G124" s="51"/>
      <c r="H124"/>
      <c r="I124"/>
      <c r="J124"/>
      <c r="K124" s="51"/>
      <c r="L124"/>
      <c r="M124"/>
      <c r="N124"/>
      <c r="O124" s="51"/>
      <c r="P124"/>
      <c r="Q124"/>
      <c r="R124"/>
      <c r="S124" s="51"/>
      <c r="T124"/>
      <c r="U124"/>
      <c r="V124"/>
      <c r="W124" s="51"/>
      <c r="X124"/>
      <c r="Y124"/>
      <c r="Z124"/>
      <c r="AA124" s="51"/>
      <c r="AB124"/>
      <c r="AC124"/>
      <c r="AD124"/>
      <c r="AE124" s="51"/>
      <c r="AF124"/>
      <c r="AG124"/>
      <c r="AH124"/>
      <c r="AM124" s="30" t="s">
        <v>23</v>
      </c>
      <c r="AN124" s="30" t="s">
        <v>24</v>
      </c>
      <c r="AO124" s="30" t="s">
        <v>24</v>
      </c>
      <c r="AQ124" s="30" t="s">
        <v>24</v>
      </c>
      <c r="AR124" s="30" t="s">
        <v>24</v>
      </c>
      <c r="AS124" s="30" t="s">
        <v>24</v>
      </c>
      <c r="AU124" s="30" t="s">
        <v>24</v>
      </c>
      <c r="AV124" s="30" t="s">
        <v>24</v>
      </c>
      <c r="AW124" s="30" t="s">
        <v>24</v>
      </c>
      <c r="AX124"/>
      <c r="AY124" s="30" t="s">
        <v>24</v>
      </c>
      <c r="AZ124" s="30" t="s">
        <v>24</v>
      </c>
      <c r="BA124" s="30" t="s">
        <v>24</v>
      </c>
      <c r="BC124" s="30" t="s">
        <v>24</v>
      </c>
      <c r="BD124" s="30" t="s">
        <v>24</v>
      </c>
      <c r="BE124" s="30" t="s">
        <v>24</v>
      </c>
      <c r="BG124" s="30" t="s">
        <v>24</v>
      </c>
      <c r="BH124" s="30" t="s">
        <v>24</v>
      </c>
      <c r="BI124" s="30" t="s">
        <v>24</v>
      </c>
      <c r="BK124" s="30" t="s">
        <v>24</v>
      </c>
      <c r="BL124" s="30" t="s">
        <v>24</v>
      </c>
      <c r="BM124" s="30" t="s">
        <v>24</v>
      </c>
      <c r="BN124"/>
    </row>
    <row r="125" spans="1:66" s="8" customFormat="1" ht="6.75" customHeight="1" x14ac:dyDescent="0.35">
      <c r="A125" s="160"/>
      <c r="C125" s="18"/>
      <c r="D125" s="10"/>
      <c r="G125" s="50"/>
      <c r="H125" s="38"/>
      <c r="I125" s="38"/>
      <c r="J125" s="38"/>
      <c r="K125" s="50"/>
      <c r="L125" s="38"/>
      <c r="M125" s="38"/>
      <c r="N125" s="38"/>
      <c r="O125" s="66"/>
      <c r="P125" s="33"/>
      <c r="Q125" s="33"/>
      <c r="R125" s="33"/>
      <c r="S125" s="66"/>
      <c r="T125" s="33"/>
      <c r="U125" s="33"/>
      <c r="V125" s="33"/>
      <c r="W125" s="66"/>
      <c r="X125" s="33"/>
      <c r="Y125" s="33"/>
      <c r="Z125" s="33"/>
      <c r="AA125" s="66"/>
      <c r="AB125" s="33"/>
      <c r="AC125" s="33"/>
      <c r="AD125" s="33"/>
      <c r="AE125" s="66"/>
      <c r="AF125" s="33"/>
      <c r="AG125" s="33"/>
      <c r="AH125" s="33"/>
      <c r="AI125" s="84"/>
      <c r="AL125" s="83"/>
      <c r="AU125" s="66"/>
      <c r="AV125" s="33"/>
      <c r="AW125" s="33"/>
      <c r="AX125" s="33"/>
      <c r="AY125" s="84"/>
      <c r="BB125" s="83"/>
      <c r="BK125" s="66"/>
      <c r="BL125" s="33"/>
      <c r="BM125" s="33"/>
      <c r="BN125" s="33"/>
    </row>
    <row r="126" spans="1:66" x14ac:dyDescent="0.35">
      <c r="A126" s="160"/>
      <c r="B126" t="s">
        <v>305</v>
      </c>
      <c r="D126" s="1">
        <f t="shared" si="14"/>
        <v>0</v>
      </c>
      <c r="F126" t="s">
        <v>329</v>
      </c>
      <c r="G126" s="51"/>
      <c r="H126"/>
      <c r="I126"/>
      <c r="J126"/>
      <c r="K126" s="51"/>
      <c r="L126"/>
      <c r="M126"/>
      <c r="N126"/>
      <c r="O126" s="51"/>
      <c r="P126"/>
      <c r="Q126"/>
      <c r="R126"/>
      <c r="S126" s="51"/>
      <c r="T126"/>
      <c r="U126"/>
      <c r="V126"/>
      <c r="W126" s="51"/>
      <c r="X126"/>
      <c r="Y126"/>
      <c r="Z126"/>
      <c r="AA126" s="51"/>
      <c r="AB126"/>
      <c r="AC126"/>
      <c r="AD126"/>
      <c r="AE126" s="51"/>
      <c r="AF126"/>
      <c r="AG126"/>
      <c r="AH126"/>
      <c r="AU126" s="51"/>
      <c r="AV126"/>
      <c r="AW126"/>
      <c r="AX126"/>
      <c r="BK126" s="51"/>
      <c r="BL126"/>
      <c r="BM126"/>
      <c r="BN126"/>
    </row>
    <row r="127" spans="1:66" x14ac:dyDescent="0.35">
      <c r="A127" s="160"/>
      <c r="B127" t="s">
        <v>308</v>
      </c>
      <c r="D127" s="1">
        <f t="shared" si="14"/>
        <v>0</v>
      </c>
      <c r="E127" t="s">
        <v>330</v>
      </c>
      <c r="F127" t="s">
        <v>331</v>
      </c>
      <c r="G127" s="51"/>
      <c r="H127"/>
      <c r="I127"/>
      <c r="J127"/>
      <c r="K127" s="51"/>
      <c r="L127"/>
      <c r="M127"/>
      <c r="N127"/>
      <c r="O127" s="51"/>
      <c r="P127"/>
      <c r="Q127"/>
      <c r="R127"/>
      <c r="S127" s="51"/>
      <c r="T127"/>
      <c r="U127"/>
      <c r="V127"/>
      <c r="W127" s="51"/>
      <c r="X127"/>
      <c r="Y127"/>
      <c r="Z127"/>
      <c r="AA127" s="51"/>
      <c r="AB127"/>
      <c r="AC127"/>
      <c r="AD127"/>
      <c r="AE127" s="51"/>
      <c r="AF127"/>
      <c r="AG127"/>
      <c r="AH127"/>
      <c r="AU127" s="51"/>
      <c r="AV127"/>
      <c r="AW127"/>
      <c r="AX127"/>
      <c r="BK127" s="51"/>
      <c r="BL127"/>
      <c r="BM127"/>
      <c r="BN127"/>
    </row>
    <row r="128" spans="1:66" x14ac:dyDescent="0.35">
      <c r="A128" s="160"/>
      <c r="B128" t="s">
        <v>311</v>
      </c>
      <c r="D128" s="1">
        <f t="shared" si="14"/>
        <v>0</v>
      </c>
      <c r="F128" t="s">
        <v>332</v>
      </c>
      <c r="G128" s="51"/>
      <c r="H128"/>
      <c r="I128"/>
      <c r="J128"/>
      <c r="K128" s="51"/>
      <c r="L128"/>
      <c r="M128"/>
      <c r="N128"/>
      <c r="O128" s="51"/>
      <c r="P128"/>
      <c r="Q128"/>
      <c r="R128"/>
      <c r="S128" s="51"/>
      <c r="T128"/>
      <c r="U128"/>
      <c r="V128"/>
      <c r="W128" s="51"/>
      <c r="X128"/>
      <c r="Y128"/>
      <c r="Z128"/>
      <c r="AA128" s="51"/>
      <c r="AB128"/>
      <c r="AC128"/>
      <c r="AD128"/>
      <c r="AE128" s="51"/>
      <c r="AF128"/>
      <c r="AG128"/>
      <c r="AH128"/>
      <c r="AU128" s="51"/>
      <c r="AV128"/>
      <c r="AW128"/>
      <c r="AX128"/>
      <c r="BK128" s="51"/>
      <c r="BL128"/>
      <c r="BM128"/>
      <c r="BN128"/>
    </row>
    <row r="129" spans="1:66" x14ac:dyDescent="0.35">
      <c r="A129" s="160"/>
      <c r="B129" t="s">
        <v>314</v>
      </c>
      <c r="D129" s="1">
        <f t="shared" si="14"/>
        <v>0</v>
      </c>
      <c r="F129" t="s">
        <v>333</v>
      </c>
      <c r="G129" s="51"/>
      <c r="H129"/>
      <c r="I129"/>
      <c r="J129"/>
      <c r="K129" s="51"/>
      <c r="L129"/>
      <c r="M129"/>
      <c r="N129"/>
      <c r="O129" s="51"/>
      <c r="P129"/>
      <c r="Q129"/>
      <c r="R129"/>
      <c r="S129" s="51"/>
      <c r="T129"/>
      <c r="U129"/>
      <c r="V129"/>
      <c r="W129" s="51"/>
      <c r="X129"/>
      <c r="Y129"/>
      <c r="Z129"/>
      <c r="AA129" s="51"/>
      <c r="AB129"/>
      <c r="AC129"/>
      <c r="AD129"/>
      <c r="AE129" s="51"/>
      <c r="AF129"/>
      <c r="AG129"/>
      <c r="AH129"/>
      <c r="AU129" s="51"/>
      <c r="AV129"/>
      <c r="AW129"/>
      <c r="AX129"/>
      <c r="BK129" s="51"/>
      <c r="BL129"/>
      <c r="BM129"/>
      <c r="BN129"/>
    </row>
    <row r="130" spans="1:66" x14ac:dyDescent="0.35">
      <c r="A130" s="160"/>
      <c r="B130" t="s">
        <v>317</v>
      </c>
      <c r="D130" s="1">
        <f t="shared" si="14"/>
        <v>0</v>
      </c>
      <c r="F130" t="s">
        <v>334</v>
      </c>
      <c r="G130" s="51"/>
      <c r="H130"/>
      <c r="I130"/>
      <c r="J130"/>
      <c r="K130" s="51"/>
      <c r="L130"/>
      <c r="M130"/>
      <c r="N130"/>
      <c r="O130" s="51"/>
      <c r="P130"/>
      <c r="Q130"/>
      <c r="R130"/>
      <c r="S130" s="51"/>
      <c r="T130"/>
      <c r="U130"/>
      <c r="V130"/>
      <c r="W130" s="51"/>
      <c r="X130"/>
      <c r="Y130"/>
      <c r="Z130"/>
      <c r="AA130" s="51"/>
      <c r="AB130"/>
      <c r="AC130"/>
      <c r="AD130"/>
      <c r="AE130" s="51"/>
      <c r="AF130"/>
      <c r="AG130"/>
      <c r="AH130"/>
      <c r="AU130" s="51"/>
      <c r="AV130"/>
      <c r="AW130"/>
      <c r="AX130"/>
      <c r="BK130" s="51"/>
      <c r="BL130"/>
      <c r="BM130"/>
      <c r="BN130"/>
    </row>
    <row r="131" spans="1:66" x14ac:dyDescent="0.35">
      <c r="A131" s="160"/>
      <c r="B131" t="s">
        <v>320</v>
      </c>
      <c r="D131" s="1">
        <f t="shared" si="14"/>
        <v>0</v>
      </c>
      <c r="F131" t="s">
        <v>335</v>
      </c>
      <c r="G131" s="51"/>
      <c r="H131"/>
      <c r="I131"/>
      <c r="J131"/>
      <c r="K131" s="51"/>
      <c r="L131"/>
      <c r="M131"/>
      <c r="N131"/>
      <c r="O131" s="51"/>
      <c r="P131"/>
      <c r="Q131"/>
      <c r="R131"/>
      <c r="S131" s="51"/>
      <c r="T131"/>
      <c r="U131"/>
      <c r="V131"/>
      <c r="W131" s="51"/>
      <c r="X131"/>
      <c r="Y131"/>
      <c r="Z131"/>
      <c r="AA131" s="51"/>
      <c r="AB131"/>
      <c r="AC131"/>
      <c r="AD131"/>
      <c r="AE131" s="51"/>
      <c r="AF131"/>
      <c r="AG131"/>
      <c r="AH131"/>
      <c r="AU131" s="51"/>
      <c r="AV131"/>
      <c r="AW131"/>
      <c r="AX131"/>
      <c r="BK131" s="51"/>
      <c r="BL131"/>
      <c r="BM131"/>
      <c r="BN131"/>
    </row>
    <row r="132" spans="1:66" x14ac:dyDescent="0.35">
      <c r="A132" s="160"/>
      <c r="B132" t="s">
        <v>323</v>
      </c>
      <c r="D132" s="1">
        <f t="shared" si="14"/>
        <v>0</v>
      </c>
      <c r="E132" t="s">
        <v>336</v>
      </c>
      <c r="F132" t="s">
        <v>337</v>
      </c>
      <c r="G132" s="51"/>
      <c r="H132"/>
      <c r="I132"/>
      <c r="J132"/>
      <c r="K132" s="51"/>
      <c r="L132"/>
      <c r="M132"/>
      <c r="N132"/>
      <c r="O132" s="51"/>
      <c r="P132"/>
      <c r="Q132"/>
      <c r="R132"/>
      <c r="S132" s="51"/>
      <c r="T132"/>
      <c r="U132"/>
      <c r="V132"/>
      <c r="W132" s="51"/>
      <c r="X132"/>
      <c r="Y132"/>
      <c r="Z132"/>
      <c r="AA132" s="51"/>
      <c r="AB132"/>
      <c r="AC132"/>
      <c r="AD132"/>
      <c r="AE132" s="51"/>
      <c r="AF132"/>
      <c r="AG132"/>
      <c r="AH132"/>
      <c r="AU132" s="51"/>
      <c r="AV132"/>
      <c r="AW132"/>
      <c r="AX132"/>
      <c r="BK132" s="51"/>
      <c r="BL132"/>
      <c r="BM132"/>
      <c r="BN132"/>
    </row>
    <row r="133" spans="1:66" x14ac:dyDescent="0.35">
      <c r="A133" s="160"/>
      <c r="B133" t="s">
        <v>326</v>
      </c>
      <c r="D133" s="1">
        <f t="shared" si="14"/>
        <v>0</v>
      </c>
      <c r="F133" t="s">
        <v>338</v>
      </c>
      <c r="G133" s="51"/>
      <c r="H133"/>
      <c r="I133"/>
      <c r="J133"/>
      <c r="K133" s="51"/>
      <c r="L133"/>
      <c r="M133"/>
      <c r="N133"/>
      <c r="O133" s="51"/>
      <c r="P133"/>
      <c r="Q133"/>
      <c r="R133"/>
      <c r="S133" s="51"/>
      <c r="T133"/>
      <c r="U133"/>
      <c r="V133"/>
      <c r="W133" s="51"/>
      <c r="X133"/>
      <c r="Y133"/>
      <c r="Z133"/>
      <c r="AA133" s="51"/>
      <c r="AB133"/>
      <c r="AC133"/>
      <c r="AD133"/>
      <c r="AE133" s="51"/>
      <c r="AF133"/>
      <c r="AG133"/>
      <c r="AH133"/>
      <c r="AU133" s="51"/>
      <c r="AV133"/>
      <c r="AW133"/>
      <c r="AX133"/>
      <c r="BK133" s="51"/>
      <c r="BL133"/>
      <c r="BM133"/>
      <c r="BN133"/>
    </row>
  </sheetData>
  <mergeCells count="45">
    <mergeCell ref="A108:A115"/>
    <mergeCell ref="AI8:AL8"/>
    <mergeCell ref="D9:F9"/>
    <mergeCell ref="AU1:AX1"/>
    <mergeCell ref="AY1:BB1"/>
    <mergeCell ref="AQ1:AT1"/>
    <mergeCell ref="AU8:AX8"/>
    <mergeCell ref="AY8:BB8"/>
    <mergeCell ref="A117:A133"/>
    <mergeCell ref="AM1:AP1"/>
    <mergeCell ref="AM8:AP8"/>
    <mergeCell ref="K8:N8"/>
    <mergeCell ref="G9:V9"/>
    <mergeCell ref="D10:F10"/>
    <mergeCell ref="K1:N1"/>
    <mergeCell ref="S1:V1"/>
    <mergeCell ref="D6:F6"/>
    <mergeCell ref="G8:J8"/>
    <mergeCell ref="O1:R1"/>
    <mergeCell ref="W9:AL9"/>
    <mergeCell ref="AI1:AL1"/>
    <mergeCell ref="B3:B4"/>
    <mergeCell ref="D7:F7"/>
    <mergeCell ref="G1:J1"/>
    <mergeCell ref="G10:BJ10"/>
    <mergeCell ref="W1:Z1"/>
    <mergeCell ref="O8:R8"/>
    <mergeCell ref="D8:F8"/>
    <mergeCell ref="B6:B7"/>
    <mergeCell ref="W8:Z8"/>
    <mergeCell ref="S8:V8"/>
    <mergeCell ref="D4:F4"/>
    <mergeCell ref="D3:F3"/>
    <mergeCell ref="AQ8:AT8"/>
    <mergeCell ref="AE8:AH8"/>
    <mergeCell ref="AA8:AD8"/>
    <mergeCell ref="BC1:BF1"/>
    <mergeCell ref="BG1:BJ1"/>
    <mergeCell ref="BC8:BF8"/>
    <mergeCell ref="BG8:BJ8"/>
    <mergeCell ref="BK1:BN1"/>
    <mergeCell ref="BK8:BN8"/>
    <mergeCell ref="AE1:AH1"/>
    <mergeCell ref="AA1:AD1"/>
    <mergeCell ref="AM9:BJ9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9"/>
  <sheetViews>
    <sheetView topLeftCell="A26" workbookViewId="0">
      <selection activeCell="B44" sqref="B44"/>
    </sheetView>
  </sheetViews>
  <sheetFormatPr defaultRowHeight="14.5" x14ac:dyDescent="0.35"/>
  <cols>
    <col min="1" max="2" width="40.7265625" customWidth="1"/>
  </cols>
  <sheetData>
    <row r="1" spans="1:2" x14ac:dyDescent="0.35">
      <c r="A1" s="2" t="s">
        <v>19</v>
      </c>
      <c r="B1" s="2" t="s">
        <v>339</v>
      </c>
    </row>
    <row r="2" spans="1:2" x14ac:dyDescent="0.35">
      <c r="A2" t="s">
        <v>340</v>
      </c>
      <c r="B2" t="str">
        <f>_xlfn.XLOOKUP(A2, opponents_table!F:F, opponents_table!B:B, "", 0)</f>
        <v/>
      </c>
    </row>
    <row r="3" spans="1:2" x14ac:dyDescent="0.35">
      <c r="A3" t="s">
        <v>341</v>
      </c>
      <c r="B3" t="str">
        <f>_xlfn.XLOOKUP(A3, opponents_table!F:F, opponents_table!B:B, "", 0)</f>
        <v>Fossil Expert Jonathan</v>
      </c>
    </row>
    <row r="4" spans="1:2" x14ac:dyDescent="0.35">
      <c r="A4" t="s">
        <v>342</v>
      </c>
      <c r="B4" t="str">
        <f>_xlfn.XLOOKUP(A4, opponents_table!F:F, opponents_table!B:B, "", 0)</f>
        <v/>
      </c>
    </row>
    <row r="5" spans="1:2" x14ac:dyDescent="0.35">
      <c r="A5" t="s">
        <v>343</v>
      </c>
      <c r="B5" t="str">
        <f>_xlfn.XLOOKUP(A5, opponents_table!F:F, opponents_table!B:B, "", 0)</f>
        <v>Psychic Nova</v>
      </c>
    </row>
    <row r="6" spans="1:2" x14ac:dyDescent="0.35">
      <c r="A6" t="s">
        <v>344</v>
      </c>
      <c r="B6" t="str">
        <f>_xlfn.XLOOKUP(A6, opponents_table!F:F, opponents_table!B:B, "", 0)</f>
        <v/>
      </c>
    </row>
    <row r="7" spans="1:2" x14ac:dyDescent="0.35">
      <c r="A7" t="s">
        <v>345</v>
      </c>
      <c r="B7" t="str">
        <f>_xlfn.XLOOKUP(A7, opponents_table!F:F, opponents_table!B:B, "", 0)</f>
        <v/>
      </c>
    </row>
    <row r="8" spans="1:2" x14ac:dyDescent="0.35">
      <c r="A8" t="s">
        <v>346</v>
      </c>
      <c r="B8" t="str">
        <f>_xlfn.XLOOKUP(A8, opponents_table!F:F, opponents_table!B:B, "", 0)</f>
        <v>Rocket Exec Petrel</v>
      </c>
    </row>
    <row r="9" spans="1:2" x14ac:dyDescent="0.35">
      <c r="A9" t="s">
        <v>347</v>
      </c>
      <c r="B9" t="str">
        <f>_xlfn.XLOOKUP(A9, opponents_table!F:F, opponents_table!B:B, "", 0)</f>
        <v/>
      </c>
    </row>
    <row r="10" spans="1:2" x14ac:dyDescent="0.35">
      <c r="A10" t="s">
        <v>348</v>
      </c>
      <c r="B10" t="str">
        <f>_xlfn.XLOOKUP(A10, opponents_table!F:F, opponents_table!B:B, "", 0)</f>
        <v/>
      </c>
    </row>
    <row r="11" spans="1:2" x14ac:dyDescent="0.35">
      <c r="A11" t="s">
        <v>349</v>
      </c>
      <c r="B11" t="str">
        <f>_xlfn.XLOOKUP(A11, opponents_table!F:F, opponents_table!B:B, "", 0)</f>
        <v/>
      </c>
    </row>
    <row r="12" spans="1:2" x14ac:dyDescent="0.35">
      <c r="A12" t="s">
        <v>350</v>
      </c>
      <c r="B12" t="str">
        <f>_xlfn.XLOOKUP(A12, opponents_table!F:F, opponents_table!B:B, "", 0)</f>
        <v/>
      </c>
    </row>
    <row r="13" spans="1:2" x14ac:dyDescent="0.35">
      <c r="A13" t="s">
        <v>351</v>
      </c>
      <c r="B13" t="str">
        <f>_xlfn.XLOOKUP(A13, opponents_table!F:F, opponents_table!B:B, "", 0)</f>
        <v/>
      </c>
    </row>
    <row r="14" spans="1:2" x14ac:dyDescent="0.35">
      <c r="A14" t="s">
        <v>352</v>
      </c>
      <c r="B14" t="str">
        <f>_xlfn.XLOOKUP(A14, opponents_table!F:F, opponents_table!B:B, "", 0)</f>
        <v/>
      </c>
    </row>
    <row r="15" spans="1:2" x14ac:dyDescent="0.35">
      <c r="A15" t="s">
        <v>353</v>
      </c>
      <c r="B15" t="str">
        <f>_xlfn.XLOOKUP(A15, opponents_table!F:F, opponents_table!B:B, "", 0)</f>
        <v>Young Twin Nella</v>
      </c>
    </row>
    <row r="16" spans="1:2" x14ac:dyDescent="0.35">
      <c r="A16" t="s">
        <v>354</v>
      </c>
      <c r="B16" t="str">
        <f>_xlfn.XLOOKUP(A16, opponents_table!F:F, opponents_table!B:B, "", 0)</f>
        <v>Aromagirl Penelope</v>
      </c>
    </row>
    <row r="17" spans="1:2" x14ac:dyDescent="0.35">
      <c r="A17" t="s">
        <v>355</v>
      </c>
      <c r="B17" t="str">
        <f>_xlfn.XLOOKUP(A17, opponents_table!F:F, opponents_table!B:B, "", 0)</f>
        <v>Card Elder Rayne</v>
      </c>
    </row>
    <row r="18" spans="1:2" x14ac:dyDescent="0.35">
      <c r="A18" t="s">
        <v>356</v>
      </c>
      <c r="B18" t="str">
        <f>_xlfn.XLOOKUP(A18, opponents_table!F:F, opponents_table!B:B, "", 0)</f>
        <v>Swimmer Bibi</v>
      </c>
    </row>
    <row r="19" spans="1:2" x14ac:dyDescent="0.35">
      <c r="A19" t="s">
        <v>357</v>
      </c>
      <c r="B19" t="str">
        <f>_xlfn.XLOOKUP(A19, opponents_table!F:F, opponents_table!B:B, "", 0)</f>
        <v/>
      </c>
    </row>
    <row r="20" spans="1:2" x14ac:dyDescent="0.35">
      <c r="A20" t="s">
        <v>358</v>
      </c>
      <c r="B20" t="str">
        <f>_xlfn.XLOOKUP(A20, opponents_table!F:F, opponents_table!B:B, "", 0)</f>
        <v>Rocket Exec Archer</v>
      </c>
    </row>
    <row r="21" spans="1:2" x14ac:dyDescent="0.35">
      <c r="A21" t="s">
        <v>359</v>
      </c>
      <c r="B21" t="str">
        <f>_xlfn.XLOOKUP(A21, opponents_table!F:F, opponents_table!B:B, "", 0)</f>
        <v/>
      </c>
    </row>
    <row r="22" spans="1:2" x14ac:dyDescent="0.35">
      <c r="A22" t="s">
        <v>360</v>
      </c>
      <c r="B22" t="str">
        <f>_xlfn.XLOOKUP(A22, opponents_table!F:F, opponents_table!B:B, "", 0)</f>
        <v/>
      </c>
    </row>
    <row r="23" spans="1:2" x14ac:dyDescent="0.35">
      <c r="A23" t="s">
        <v>361</v>
      </c>
      <c r="B23" t="str">
        <f>_xlfn.XLOOKUP(A23, opponents_table!F:F, opponents_table!B:B, "", 0)</f>
        <v/>
      </c>
    </row>
    <row r="24" spans="1:2" x14ac:dyDescent="0.35">
      <c r="A24" t="s">
        <v>362</v>
      </c>
      <c r="B24" t="str">
        <f>_xlfn.XLOOKUP(A24, opponents_table!F:F, opponents_table!B:B, "", 0)</f>
        <v/>
      </c>
    </row>
    <row r="25" spans="1:2" x14ac:dyDescent="0.35">
      <c r="A25" t="s">
        <v>363</v>
      </c>
      <c r="B25" t="str">
        <f>_xlfn.XLOOKUP(A25, opponents_table!F:F, opponents_table!B:B, "", 0)</f>
        <v/>
      </c>
    </row>
    <row r="26" spans="1:2" x14ac:dyDescent="0.35">
      <c r="A26" t="s">
        <v>364</v>
      </c>
      <c r="B26" t="str">
        <f>_xlfn.XLOOKUP(A26, opponents_table!F:F, opponents_table!B:B, "", 0)</f>
        <v>Gardener Callum</v>
      </c>
    </row>
    <row r="27" spans="1:2" x14ac:dyDescent="0.35">
      <c r="A27" t="s">
        <v>365</v>
      </c>
      <c r="B27" t="str">
        <f>_xlfn.XLOOKUP(A27, opponents_table!F:F, opponents_table!B:B, "", 0)</f>
        <v>Young Twin Anna</v>
      </c>
    </row>
    <row r="28" spans="1:2" x14ac:dyDescent="0.35">
      <c r="A28" t="s">
        <v>366</v>
      </c>
      <c r="B28" t="str">
        <f>_xlfn.XLOOKUP(A28, opponents_table!F:F, opponents_table!B:B, "", 0)</f>
        <v>Bug Catcher Alex</v>
      </c>
    </row>
    <row r="29" spans="1:2" x14ac:dyDescent="0.35">
      <c r="A29" t="s">
        <v>367</v>
      </c>
      <c r="B29" t="str">
        <f>_xlfn.XLOOKUP(A29, opponents_table!F:F, opponents_table!B:B, "", 0)</f>
        <v/>
      </c>
    </row>
    <row r="30" spans="1:2" x14ac:dyDescent="0.35">
      <c r="A30" t="s">
        <v>368</v>
      </c>
      <c r="B30" t="str">
        <f>_xlfn.XLOOKUP(A30, opponents_table!F:F, opponents_table!B:B, "", 0)</f>
        <v/>
      </c>
    </row>
    <row r="31" spans="1:2" x14ac:dyDescent="0.35">
      <c r="A31" t="s">
        <v>369</v>
      </c>
      <c r="B31" t="str">
        <f>_xlfn.XLOOKUP(A31, opponents_table!F:F, opponents_table!B:B, "", 0)</f>
        <v/>
      </c>
    </row>
    <row r="32" spans="1:2" x14ac:dyDescent="0.35">
      <c r="A32" t="s">
        <v>370</v>
      </c>
      <c r="B32" t="str">
        <f>_xlfn.XLOOKUP(A32, opponents_table!F:F, opponents_table!B:B, "", 0)</f>
        <v/>
      </c>
    </row>
    <row r="33" spans="1:2" x14ac:dyDescent="0.35">
      <c r="A33" t="s">
        <v>371</v>
      </c>
      <c r="B33" t="str">
        <f>_xlfn.XLOOKUP(A33, opponents_table!F:F, opponents_table!B:B, "", 0)</f>
        <v/>
      </c>
    </row>
    <row r="34" spans="1:2" x14ac:dyDescent="0.35">
      <c r="A34" t="s">
        <v>372</v>
      </c>
      <c r="B34" t="str">
        <f>_xlfn.XLOOKUP(A34, opponents_table!F:F, opponents_table!B:B, "", 0)</f>
        <v/>
      </c>
    </row>
    <row r="35" spans="1:2" x14ac:dyDescent="0.35">
      <c r="A35" t="s">
        <v>373</v>
      </c>
      <c r="B35" t="str">
        <f>_xlfn.XLOOKUP(A35, opponents_table!F:F, opponents_table!B:B, "", 0)</f>
        <v/>
      </c>
    </row>
    <row r="36" spans="1:2" x14ac:dyDescent="0.35">
      <c r="A36" t="s">
        <v>374</v>
      </c>
      <c r="B36" t="str">
        <f>_xlfn.XLOOKUP(A36, opponents_table!F:F, opponents_table!B:B, "", 0)</f>
        <v>Card Expert Nathan</v>
      </c>
    </row>
    <row r="37" spans="1:2" x14ac:dyDescent="0.35">
      <c r="A37" t="s">
        <v>375</v>
      </c>
      <c r="B37" t="str">
        <f>_xlfn.XLOOKUP(A37, opponents_table!F:F, opponents_table!B:B, "", 0)</f>
        <v>Shady Character Bernard</v>
      </c>
    </row>
    <row r="38" spans="1:2" x14ac:dyDescent="0.35">
      <c r="A38" t="s">
        <v>376</v>
      </c>
      <c r="B38" t="str">
        <f>_xlfn.XLOOKUP(A38, opponents_table!F:F, opponents_table!B:B, "", 0)</f>
        <v/>
      </c>
    </row>
    <row r="39" spans="1:2" x14ac:dyDescent="0.35">
      <c r="A39" t="s">
        <v>377</v>
      </c>
      <c r="B39" t="str">
        <f>_xlfn.XLOOKUP(A39, opponents_table!F:F, opponents_table!B:B, "", 0)</f>
        <v/>
      </c>
    </row>
    <row r="40" spans="1:2" x14ac:dyDescent="0.35">
      <c r="A40" t="s">
        <v>378</v>
      </c>
      <c r="B40" t="str">
        <f>_xlfn.XLOOKUP(A40, opponents_table!F:F, opponents_table!B:B, "", 0)</f>
        <v/>
      </c>
    </row>
    <row r="41" spans="1:2" x14ac:dyDescent="0.35">
      <c r="A41" t="s">
        <v>379</v>
      </c>
      <c r="B41" t="str">
        <f>_xlfn.XLOOKUP(A41, opponents_table!F:F, opponents_table!B:B, "", 0)</f>
        <v/>
      </c>
    </row>
    <row r="42" spans="1:2" x14ac:dyDescent="0.35">
      <c r="A42" t="s">
        <v>380</v>
      </c>
      <c r="B42" t="str">
        <f>_xlfn.XLOOKUP(A42, opponents_table!F:F, opponents_table!B:B, "", 0)</f>
        <v/>
      </c>
    </row>
    <row r="43" spans="1:2" x14ac:dyDescent="0.35">
      <c r="A43" t="s">
        <v>381</v>
      </c>
      <c r="B43" t="str">
        <f>_xlfn.XLOOKUP(A43, opponents_table!F:F, opponents_table!B:B, "", 0)</f>
        <v/>
      </c>
    </row>
    <row r="44" spans="1:2" x14ac:dyDescent="0.35">
      <c r="A44" t="s">
        <v>382</v>
      </c>
      <c r="B44" t="str">
        <f>_xlfn.XLOOKUP(A44, opponents_table!F:F, opponents_table!B:B, "", 0)</f>
        <v>Card Expert Ruby</v>
      </c>
    </row>
    <row r="45" spans="1:2" x14ac:dyDescent="0.35">
      <c r="A45" t="s">
        <v>383</v>
      </c>
      <c r="B45" t="str">
        <f>_xlfn.XLOOKUP(A45, opponents_table!F:F, opponents_table!B:B, "", 0)</f>
        <v/>
      </c>
    </row>
    <row r="46" spans="1:2" x14ac:dyDescent="0.35">
      <c r="A46" t="s">
        <v>384</v>
      </c>
      <c r="B46" t="str">
        <f>_xlfn.XLOOKUP(A46, opponents_table!F:F, opponents_table!B:B, "", 0)</f>
        <v/>
      </c>
    </row>
    <row r="47" spans="1:2" x14ac:dyDescent="0.35">
      <c r="A47" t="s">
        <v>385</v>
      </c>
      <c r="B47" t="str">
        <f>_xlfn.XLOOKUP(A47, opponents_table!F:F, opponents_table!B:B, "", 0)</f>
        <v/>
      </c>
    </row>
    <row r="48" spans="1:2" x14ac:dyDescent="0.35">
      <c r="A48" t="s">
        <v>386</v>
      </c>
      <c r="B48" t="str">
        <f>_xlfn.XLOOKUP(A48, opponents_table!F:F, opponents_table!B:B, "", 0)</f>
        <v/>
      </c>
    </row>
    <row r="49" spans="1:2" x14ac:dyDescent="0.35">
      <c r="A49" t="s">
        <v>387</v>
      </c>
      <c r="B49" t="str">
        <f>_xlfn.XLOOKUP(A49, opponents_table!F:F, opponents_table!B:B, "", 0)</f>
        <v/>
      </c>
    </row>
    <row r="50" spans="1:2" x14ac:dyDescent="0.35">
      <c r="A50" t="s">
        <v>388</v>
      </c>
      <c r="B50" t="str">
        <f>_xlfn.XLOOKUP(A50, opponents_table!F:F, opponents_table!B:B, "", 0)</f>
        <v/>
      </c>
    </row>
    <row r="51" spans="1:2" x14ac:dyDescent="0.35">
      <c r="A51" t="s">
        <v>389</v>
      </c>
      <c r="B51" t="str">
        <f>_xlfn.XLOOKUP(A51, opponents_table!F:F, opponents_table!B:B, "", 0)</f>
        <v>Tourist Alissa</v>
      </c>
    </row>
    <row r="52" spans="1:2" x14ac:dyDescent="0.35">
      <c r="A52" t="s">
        <v>390</v>
      </c>
      <c r="B52" t="str">
        <f>_xlfn.XLOOKUP(A52, opponents_table!F:F, opponents_table!B:B, "", 0)</f>
        <v/>
      </c>
    </row>
    <row r="53" spans="1:2" x14ac:dyDescent="0.35">
      <c r="A53" t="s">
        <v>391</v>
      </c>
      <c r="B53" t="str">
        <f>_xlfn.XLOOKUP(A53, opponents_table!F:F, opponents_table!B:B, "", 0)</f>
        <v/>
      </c>
    </row>
    <row r="54" spans="1:2" x14ac:dyDescent="0.35">
      <c r="A54" t="s">
        <v>392</v>
      </c>
      <c r="B54" t="str">
        <f>_xlfn.XLOOKUP(A54, opponents_table!F:F, opponents_table!B:B, "", 0)</f>
        <v/>
      </c>
    </row>
    <row r="55" spans="1:2" x14ac:dyDescent="0.35">
      <c r="A55" t="s">
        <v>393</v>
      </c>
      <c r="B55" t="str">
        <f>_xlfn.XLOOKUP(A55, opponents_table!F:F, opponents_table!B:B, "", 0)</f>
        <v/>
      </c>
    </row>
    <row r="56" spans="1:2" x14ac:dyDescent="0.35">
      <c r="A56" t="s">
        <v>394</v>
      </c>
      <c r="B56" t="str">
        <f>_xlfn.XLOOKUP(A56, opponents_table!F:F, opponents_table!B:B, "", 0)</f>
        <v/>
      </c>
    </row>
    <row r="57" spans="1:2" x14ac:dyDescent="0.35">
      <c r="A57" t="s">
        <v>395</v>
      </c>
      <c r="B57" t="str">
        <f>_xlfn.XLOOKUP(A57, opponents_table!F:F, opponents_table!B:B, "", 0)</f>
        <v>Old Traveller Cliff</v>
      </c>
    </row>
    <row r="58" spans="1:2" x14ac:dyDescent="0.35">
      <c r="A58" t="s">
        <v>396</v>
      </c>
      <c r="B58" t="str">
        <f>_xlfn.XLOOKUP(A58, opponents_table!F:F, opponents_table!B:B, "", 0)</f>
        <v/>
      </c>
    </row>
    <row r="59" spans="1:2" x14ac:dyDescent="0.35">
      <c r="A59" t="s">
        <v>397</v>
      </c>
      <c r="B59" t="str">
        <f>_xlfn.XLOOKUP(A59, opponents_table!F:F, opponents_table!B:B, "", 0)</f>
        <v/>
      </c>
    </row>
    <row r="60" spans="1:2" x14ac:dyDescent="0.35">
      <c r="A60" t="s">
        <v>398</v>
      </c>
      <c r="B60" t="str">
        <f>_xlfn.XLOOKUP(A60, opponents_table!F:F, opponents_table!B:B, "", 0)</f>
        <v/>
      </c>
    </row>
    <row r="61" spans="1:2" x14ac:dyDescent="0.35">
      <c r="A61" t="s">
        <v>399</v>
      </c>
      <c r="B61" t="str">
        <f>_xlfn.XLOOKUP(A61, opponents_table!F:F, opponents_table!B:B, "", 0)</f>
        <v/>
      </c>
    </row>
    <row r="62" spans="1:2" x14ac:dyDescent="0.35">
      <c r="A62" t="s">
        <v>400</v>
      </c>
      <c r="B62" t="str">
        <f>_xlfn.XLOOKUP(A62, opponents_table!F:F, opponents_table!B:B, "", 0)</f>
        <v/>
      </c>
    </row>
    <row r="63" spans="1:2" x14ac:dyDescent="0.35">
      <c r="A63" t="s">
        <v>401</v>
      </c>
      <c r="B63" t="str">
        <f>_xlfn.XLOOKUP(A63, opponents_table!F:F, opponents_table!B:B, "", 0)</f>
        <v/>
      </c>
    </row>
    <row r="64" spans="1:2" x14ac:dyDescent="0.35">
      <c r="A64" t="s">
        <v>402</v>
      </c>
      <c r="B64" t="str">
        <f>_xlfn.XLOOKUP(A64, opponents_table!F:F, opponents_table!B:B, "", 0)</f>
        <v/>
      </c>
    </row>
    <row r="65" spans="1:2" x14ac:dyDescent="0.35">
      <c r="A65" t="s">
        <v>403</v>
      </c>
      <c r="B65" t="str">
        <f>_xlfn.XLOOKUP(A65, opponents_table!F:F, opponents_table!B:B, "", 0)</f>
        <v/>
      </c>
    </row>
    <row r="66" spans="1:2" x14ac:dyDescent="0.35">
      <c r="A66" t="s">
        <v>404</v>
      </c>
      <c r="B66" t="str">
        <f>_xlfn.XLOOKUP(A66, opponents_table!F:F, opponents_table!B:B, "", 0)</f>
        <v>Swimmer Melissa</v>
      </c>
    </row>
    <row r="67" spans="1:2" x14ac:dyDescent="0.35">
      <c r="A67" t="s">
        <v>405</v>
      </c>
      <c r="B67" t="str">
        <f>_xlfn.XLOOKUP(A67, opponents_table!F:F, opponents_table!B:B, "", 0)</f>
        <v/>
      </c>
    </row>
    <row r="68" spans="1:2" x14ac:dyDescent="0.35">
      <c r="A68" t="s">
        <v>406</v>
      </c>
      <c r="B68" t="str">
        <f>_xlfn.XLOOKUP(A68, opponents_table!F:F, opponents_table!B:B, "", 0)</f>
        <v/>
      </c>
    </row>
    <row r="69" spans="1:2" x14ac:dyDescent="0.35">
      <c r="A69" t="s">
        <v>407</v>
      </c>
      <c r="B69" t="str">
        <f>_xlfn.XLOOKUP(A69, opponents_table!F:F, opponents_table!B:B, "", 0)</f>
        <v/>
      </c>
    </row>
    <row r="70" spans="1:2" x14ac:dyDescent="0.35">
      <c r="A70" t="s">
        <v>408</v>
      </c>
      <c r="B70" t="str">
        <f>_xlfn.XLOOKUP(A70, opponents_table!F:F, opponents_table!B:B, "", 0)</f>
        <v>Beach Kid Timothy</v>
      </c>
    </row>
    <row r="71" spans="1:2" x14ac:dyDescent="0.35">
      <c r="A71" t="s">
        <v>409</v>
      </c>
      <c r="B71" t="str">
        <f>_xlfn.XLOOKUP(A71, opponents_table!F:F, opponents_table!B:B, "", 0)</f>
        <v/>
      </c>
    </row>
    <row r="72" spans="1:2" x14ac:dyDescent="0.35">
      <c r="A72" t="s">
        <v>410</v>
      </c>
      <c r="B72" t="str">
        <f>_xlfn.XLOOKUP(A72, opponents_table!F:F, opponents_table!B:B, "", 0)</f>
        <v>Birdspotter Tamsin</v>
      </c>
    </row>
    <row r="73" spans="1:2" x14ac:dyDescent="0.35">
      <c r="A73" t="s">
        <v>411</v>
      </c>
      <c r="B73" t="str">
        <f>_xlfn.XLOOKUP(A73, opponents_table!F:F, opponents_table!B:B, "", 0)</f>
        <v/>
      </c>
    </row>
    <row r="74" spans="1:2" x14ac:dyDescent="0.35">
      <c r="A74" t="s">
        <v>412</v>
      </c>
      <c r="B74" t="str">
        <f>_xlfn.XLOOKUP(A74, opponents_table!F:F, opponents_table!B:B, "", 0)</f>
        <v/>
      </c>
    </row>
    <row r="75" spans="1:2" x14ac:dyDescent="0.35">
      <c r="A75" t="s">
        <v>413</v>
      </c>
      <c r="B75" t="str">
        <f>_xlfn.XLOOKUP(A75, opponents_table!F:F, opponents_table!B:B, "", 0)</f>
        <v>Rocket Exec Proton</v>
      </c>
    </row>
    <row r="76" spans="1:2" x14ac:dyDescent="0.35">
      <c r="A76" t="s">
        <v>414</v>
      </c>
      <c r="B76" t="str">
        <f>_xlfn.XLOOKUP(A76, opponents_table!F:F, opponents_table!B:B, "", 0)</f>
        <v/>
      </c>
    </row>
    <row r="77" spans="1:2" x14ac:dyDescent="0.35">
      <c r="A77" t="s">
        <v>415</v>
      </c>
      <c r="B77" t="str">
        <f>_xlfn.XLOOKUP(A77, opponents_table!F:F, opponents_table!B:B, "", 0)</f>
        <v/>
      </c>
    </row>
    <row r="78" spans="1:2" x14ac:dyDescent="0.35">
      <c r="A78" t="s">
        <v>416</v>
      </c>
      <c r="B78" t="str">
        <f>_xlfn.XLOOKUP(A78, opponents_table!F:F, opponents_table!B:B, "", 0)</f>
        <v/>
      </c>
    </row>
    <row r="79" spans="1:2" x14ac:dyDescent="0.35">
      <c r="A79" t="s">
        <v>417</v>
      </c>
      <c r="B79" t="str">
        <f>_xlfn.XLOOKUP(A79, opponents_table!F:F, opponents_table!B:B, "", 0)</f>
        <v>Tourist Edmund</v>
      </c>
    </row>
    <row r="80" spans="1:2" x14ac:dyDescent="0.35">
      <c r="A80" t="s">
        <v>418</v>
      </c>
      <c r="B80" t="str">
        <f>_xlfn.XLOOKUP(A80, opponents_table!F:F, opponents_table!B:B, "", 0)</f>
        <v>Schoolboy Adam</v>
      </c>
    </row>
    <row r="81" spans="1:2" x14ac:dyDescent="0.35">
      <c r="A81" t="s">
        <v>419</v>
      </c>
      <c r="B81" t="str">
        <f>_xlfn.XLOOKUP(A81, opponents_table!F:F, opponents_table!B:B, "", 0)</f>
        <v>Hiker Ben</v>
      </c>
    </row>
    <row r="82" spans="1:2" x14ac:dyDescent="0.35">
      <c r="A82" t="s">
        <v>420</v>
      </c>
      <c r="B82" t="str">
        <f>_xlfn.XLOOKUP(A82, opponents_table!F:F, opponents_table!B:B, "", 0)</f>
        <v/>
      </c>
    </row>
    <row r="83" spans="1:2" x14ac:dyDescent="0.35">
      <c r="A83" t="s">
        <v>421</v>
      </c>
      <c r="B83" t="str">
        <f>_xlfn.XLOOKUP(A83, opponents_table!F:F, opponents_table!B:B, "", 0)</f>
        <v/>
      </c>
    </row>
    <row r="84" spans="1:2" x14ac:dyDescent="0.35">
      <c r="A84" t="s">
        <v>422</v>
      </c>
      <c r="B84" t="str">
        <f>_xlfn.XLOOKUP(A84, opponents_table!F:F, opponents_table!B:B, "", 0)</f>
        <v/>
      </c>
    </row>
    <row r="85" spans="1:2" x14ac:dyDescent="0.35">
      <c r="A85" t="s">
        <v>423</v>
      </c>
      <c r="B85" t="str">
        <f>_xlfn.XLOOKUP(A85, opponents_table!F:F, opponents_table!B:B, "", 0)</f>
        <v>Rocket Exec Ariana</v>
      </c>
    </row>
    <row r="86" spans="1:2" x14ac:dyDescent="0.35">
      <c r="A86" t="s">
        <v>424</v>
      </c>
      <c r="B86" t="str">
        <f>_xlfn.XLOOKUP(A86, opponents_table!F:F, opponents_table!B:B, "", 0)</f>
        <v/>
      </c>
    </row>
    <row r="87" spans="1:2" x14ac:dyDescent="0.35">
      <c r="A87" t="s">
        <v>425</v>
      </c>
      <c r="B87" t="str">
        <f>_xlfn.XLOOKUP(A87, opponents_table!F:F, opponents_table!B:B, "", 0)</f>
        <v/>
      </c>
    </row>
    <row r="88" spans="1:2" x14ac:dyDescent="0.35">
      <c r="A88" t="s">
        <v>426</v>
      </c>
      <c r="B88" t="str">
        <f>_xlfn.XLOOKUP(A88, opponents_table!F:F, opponents_table!B:B, "", 0)</f>
        <v/>
      </c>
    </row>
    <row r="89" spans="1:2" x14ac:dyDescent="0.35">
      <c r="A89" t="s">
        <v>427</v>
      </c>
      <c r="B89" t="str">
        <f>_xlfn.XLOOKUP(A89, opponents_table!F:F, opponents_table!B:B, "", 0)</f>
        <v/>
      </c>
    </row>
    <row r="90" spans="1:2" x14ac:dyDescent="0.35">
      <c r="A90" t="s">
        <v>428</v>
      </c>
      <c r="B90" t="str">
        <f>_xlfn.XLOOKUP(A90, opponents_table!F:F, opponents_table!B:B, "", 0)</f>
        <v>Painter Jericho</v>
      </c>
    </row>
    <row r="91" spans="1:2" x14ac:dyDescent="0.35">
      <c r="A91" t="s">
        <v>429</v>
      </c>
      <c r="B91" t="str">
        <f>_xlfn.XLOOKUP(A91, opponents_table!F:F, opponents_table!B:B, "", 0)</f>
        <v/>
      </c>
    </row>
    <row r="92" spans="1:2" x14ac:dyDescent="0.35">
      <c r="A92" t="s">
        <v>430</v>
      </c>
      <c r="B92" t="str">
        <f>_xlfn.XLOOKUP(A92, opponents_table!F:F, opponents_table!B:B, "", 0)</f>
        <v/>
      </c>
    </row>
    <row r="93" spans="1:2" x14ac:dyDescent="0.35">
      <c r="A93" t="s">
        <v>431</v>
      </c>
      <c r="B93" t="str">
        <f>_xlfn.XLOOKUP(A93, opponents_table!F:F, opponents_table!B:B, "", 0)</f>
        <v/>
      </c>
    </row>
    <row r="94" spans="1:2" x14ac:dyDescent="0.35">
      <c r="A94" t="s">
        <v>432</v>
      </c>
      <c r="B94" t="str">
        <f>_xlfn.XLOOKUP(A94, opponents_table!F:F, opponents_table!B:B, "", 0)</f>
        <v>Young Sage Kai</v>
      </c>
    </row>
    <row r="95" spans="1:2" x14ac:dyDescent="0.35">
      <c r="A95" t="s">
        <v>433</v>
      </c>
      <c r="B95" t="str">
        <f>_xlfn.XLOOKUP(A95, opponents_table!F:F, opponents_table!B:B, "", 0)</f>
        <v>Light Engineer Chase</v>
      </c>
    </row>
    <row r="96" spans="1:2" x14ac:dyDescent="0.35">
      <c r="A96" t="s">
        <v>434</v>
      </c>
      <c r="B96" t="str">
        <f>_xlfn.XLOOKUP(A96, opponents_table!F:F, opponents_table!B:B, "", 0)</f>
        <v/>
      </c>
    </row>
    <row r="97" spans="1:2" x14ac:dyDescent="0.35">
      <c r="A97" t="s">
        <v>435</v>
      </c>
      <c r="B97" t="str">
        <f>_xlfn.XLOOKUP(A97, opponents_table!F:F, opponents_table!B:B, "", 0)</f>
        <v/>
      </c>
    </row>
    <row r="98" spans="1:2" x14ac:dyDescent="0.35">
      <c r="A98" t="s">
        <v>436</v>
      </c>
      <c r="B98" t="str">
        <f>_xlfn.XLOOKUP(A98, opponents_table!F:F, opponents_table!B:B, "", 0)</f>
        <v/>
      </c>
    </row>
    <row r="99" spans="1:2" x14ac:dyDescent="0.35">
      <c r="A99" t="s">
        <v>437</v>
      </c>
      <c r="B99" t="str">
        <f>_xlfn.XLOOKUP(A99, opponents_table!F:F, opponents_table!B:B, "", 0)</f>
        <v/>
      </c>
    </row>
    <row r="100" spans="1:2" x14ac:dyDescent="0.35">
      <c r="A100" t="s">
        <v>438</v>
      </c>
      <c r="B100" t="str">
        <f>_xlfn.XLOOKUP(A100, opponents_table!F:F, opponents_table!B:B, "", 0)</f>
        <v/>
      </c>
    </row>
    <row r="101" spans="1:2" x14ac:dyDescent="0.35">
      <c r="A101" t="s">
        <v>439</v>
      </c>
      <c r="B101" t="str">
        <f>_xlfn.XLOOKUP(A101, opponents_table!F:F, opponents_table!B:B, "", 0)</f>
        <v/>
      </c>
    </row>
    <row r="102" spans="1:2" x14ac:dyDescent="0.35">
      <c r="A102" t="s">
        <v>440</v>
      </c>
      <c r="B102" t="str">
        <f>_xlfn.XLOOKUP(A102, opponents_table!F:F, opponents_table!B:B, "", 0)</f>
        <v/>
      </c>
    </row>
    <row r="103" spans="1:2" x14ac:dyDescent="0.35">
      <c r="A103" t="s">
        <v>441</v>
      </c>
      <c r="B103" t="str">
        <f>_xlfn.XLOOKUP(A103, opponents_table!F:F, opponents_table!B:B, "", 0)</f>
        <v>Ex Gym Leader Koga</v>
      </c>
    </row>
    <row r="104" spans="1:2" x14ac:dyDescent="0.35">
      <c r="A104" t="s">
        <v>442</v>
      </c>
      <c r="B104" t="str">
        <f>_xlfn.XLOOKUP(A104, opponents_table!F:F, opponents_table!B:B, "", 0)</f>
        <v>Ex Gym Leader Giovanni</v>
      </c>
    </row>
    <row r="105" spans="1:2" x14ac:dyDescent="0.35">
      <c r="A105" t="s">
        <v>443</v>
      </c>
      <c r="B105" t="str">
        <f>_xlfn.XLOOKUP(A105, opponents_table!F:F, opponents_table!B:B, "", 0)</f>
        <v>Gym Challenge Giovanni</v>
      </c>
    </row>
    <row r="106" spans="1:2" x14ac:dyDescent="0.35">
      <c r="A106" t="s">
        <v>444</v>
      </c>
      <c r="B106" t="str">
        <f>_xlfn.XLOOKUP(A106, opponents_table!F:F, opponents_table!B:B, "", 0)</f>
        <v/>
      </c>
    </row>
    <row r="107" spans="1:2" x14ac:dyDescent="0.35">
      <c r="A107" t="s">
        <v>445</v>
      </c>
      <c r="B107" t="str">
        <f>_xlfn.XLOOKUP(A107, opponents_table!F:F, opponents_table!B:B, "", 0)</f>
        <v/>
      </c>
    </row>
    <row r="108" spans="1:2" x14ac:dyDescent="0.35">
      <c r="A108" t="s">
        <v>446</v>
      </c>
      <c r="B108" t="str">
        <f>_xlfn.XLOOKUP(A108, opponents_table!F:F, opponents_table!B:B, "", 0)</f>
        <v/>
      </c>
    </row>
    <row r="109" spans="1:2" x14ac:dyDescent="0.35">
      <c r="A109" t="s">
        <v>447</v>
      </c>
      <c r="B109" t="str">
        <f>_xlfn.XLOOKUP(A109, opponents_table!F:F, opponents_table!B:B, "", 0)</f>
        <v>Ex Gym Leader Brock</v>
      </c>
    </row>
    <row r="110" spans="1:2" x14ac:dyDescent="0.35">
      <c r="A110" t="s">
        <v>448</v>
      </c>
      <c r="B110" t="str">
        <f>_xlfn.XLOOKUP(A110, opponents_table!F:F, opponents_table!B:B, "", 0)</f>
        <v>Gym Challenge Brock</v>
      </c>
    </row>
    <row r="111" spans="1:2" x14ac:dyDescent="0.35">
      <c r="A111" t="s">
        <v>449</v>
      </c>
      <c r="B111" t="str">
        <f>_xlfn.XLOOKUP(A111, opponents_table!F:F, opponents_table!B:B, "", 0)</f>
        <v>Ex Gym Leader Blaine</v>
      </c>
    </row>
    <row r="112" spans="1:2" x14ac:dyDescent="0.35">
      <c r="A112" t="s">
        <v>450</v>
      </c>
      <c r="B112" t="str">
        <f>_xlfn.XLOOKUP(A112, opponents_table!F:F, opponents_table!B:B, "", 0)</f>
        <v>Gym Challenge Blaine</v>
      </c>
    </row>
    <row r="113" spans="1:2" x14ac:dyDescent="0.35">
      <c r="A113" t="s">
        <v>451</v>
      </c>
      <c r="B113" t="str">
        <f>_xlfn.XLOOKUP(A113, opponents_table!F:F, opponents_table!B:B, "", 0)</f>
        <v>Ex Gym Leader Erika</v>
      </c>
    </row>
    <row r="114" spans="1:2" x14ac:dyDescent="0.35">
      <c r="A114" t="s">
        <v>452</v>
      </c>
      <c r="B114" t="str">
        <f>_xlfn.XLOOKUP(A114, opponents_table!F:F, opponents_table!B:B, "", 0)</f>
        <v>Gym Challenge Erika</v>
      </c>
    </row>
    <row r="115" spans="1:2" x14ac:dyDescent="0.35">
      <c r="A115" t="s">
        <v>453</v>
      </c>
      <c r="B115" t="str">
        <f>_xlfn.XLOOKUP(A115, opponents_table!F:F, opponents_table!B:B, "", 0)</f>
        <v>Ex Gym Leader Lt. Surge</v>
      </c>
    </row>
    <row r="116" spans="1:2" x14ac:dyDescent="0.35">
      <c r="A116" t="s">
        <v>454</v>
      </c>
      <c r="B116" t="str">
        <f>_xlfn.XLOOKUP(A116, opponents_table!F:F, opponents_table!B:B, "", 0)</f>
        <v>Gym Challenge Lt. Surge</v>
      </c>
    </row>
    <row r="117" spans="1:2" x14ac:dyDescent="0.35">
      <c r="A117" t="s">
        <v>455</v>
      </c>
      <c r="B117" t="str">
        <f>_xlfn.XLOOKUP(A117, opponents_table!F:F, opponents_table!B:B, "", 0)</f>
        <v/>
      </c>
    </row>
    <row r="118" spans="1:2" x14ac:dyDescent="0.35">
      <c r="A118" t="s">
        <v>456</v>
      </c>
      <c r="B118" t="str">
        <f>_xlfn.XLOOKUP(A118, opponents_table!F:F, opponents_table!B:B, "", 0)</f>
        <v>Ex Gym Leader Sabrina</v>
      </c>
    </row>
    <row r="119" spans="1:2" x14ac:dyDescent="0.35">
      <c r="A119" t="s">
        <v>457</v>
      </c>
      <c r="B119" t="str">
        <f>_xlfn.XLOOKUP(A119, opponents_table!F:F, opponents_table!B:B, "", 0)</f>
        <v>Gym Challenge Sabrina</v>
      </c>
    </row>
    <row r="120" spans="1:2" x14ac:dyDescent="0.35">
      <c r="A120" t="s">
        <v>458</v>
      </c>
      <c r="B120" t="str">
        <f>_xlfn.XLOOKUP(A120, opponents_table!F:F, opponents_table!B:B, "", 0)</f>
        <v>Ex Gym Leader Misty</v>
      </c>
    </row>
    <row r="121" spans="1:2" x14ac:dyDescent="0.35">
      <c r="A121" t="s">
        <v>459</v>
      </c>
      <c r="B121" t="str">
        <f>_xlfn.XLOOKUP(A121, opponents_table!F:F, opponents_table!B:B, "", 0)</f>
        <v>Gym Challenge Misty</v>
      </c>
    </row>
    <row r="122" spans="1:2" x14ac:dyDescent="0.35">
      <c r="A122" t="s">
        <v>460</v>
      </c>
      <c r="B122" t="str">
        <f>_xlfn.XLOOKUP(A122, opponents_table!F:F, opponents_table!B:B, "", 0)</f>
        <v/>
      </c>
    </row>
    <row r="123" spans="1:2" x14ac:dyDescent="0.35">
      <c r="A123" t="s">
        <v>461</v>
      </c>
      <c r="B123" t="str">
        <f>_xlfn.XLOOKUP(A123, opponents_table!F:F, opponents_table!B:B, "", 0)</f>
        <v/>
      </c>
    </row>
    <row r="124" spans="1:2" x14ac:dyDescent="0.35">
      <c r="A124" t="s">
        <v>462</v>
      </c>
      <c r="B124" t="str">
        <f>_xlfn.XLOOKUP(A124, opponents_table!F:F, opponents_table!B:B, "", 0)</f>
        <v/>
      </c>
    </row>
    <row r="125" spans="1:2" x14ac:dyDescent="0.35">
      <c r="A125" t="s">
        <v>463</v>
      </c>
      <c r="B125" t="str">
        <f>_xlfn.XLOOKUP(A125, opponents_table!F:F, opponents_table!B:B, "", 0)</f>
        <v/>
      </c>
    </row>
    <row r="126" spans="1:2" x14ac:dyDescent="0.35">
      <c r="A126" t="s">
        <v>464</v>
      </c>
      <c r="B126" t="str">
        <f>_xlfn.XLOOKUP(A126, opponents_table!F:F, opponents_table!B:B, "", 0)</f>
        <v/>
      </c>
    </row>
    <row r="127" spans="1:2" x14ac:dyDescent="0.35">
      <c r="A127" t="s">
        <v>465</v>
      </c>
      <c r="B127" t="str">
        <f>_xlfn.XLOOKUP(A127, opponents_table!F:F, opponents_table!B:B, "", 0)</f>
        <v>Gambler Mick</v>
      </c>
    </row>
    <row r="128" spans="1:2" x14ac:dyDescent="0.35">
      <c r="A128" t="s">
        <v>466</v>
      </c>
      <c r="B128" t="str">
        <f>_xlfn.XLOOKUP(A128, opponents_table!F:F, opponents_table!B:B, "", 0)</f>
        <v/>
      </c>
    </row>
    <row r="129" spans="1:2" x14ac:dyDescent="0.35">
      <c r="A129" t="s">
        <v>467</v>
      </c>
      <c r="B129" t="str">
        <f>_xlfn.XLOOKUP(A129, opponents_table!F:F, opponents_table!B:B, "", 0)</f>
        <v/>
      </c>
    </row>
    <row r="130" spans="1:2" x14ac:dyDescent="0.35">
      <c r="A130" t="s">
        <v>468</v>
      </c>
      <c r="B130" t="str">
        <f>_xlfn.XLOOKUP(A130, opponents_table!F:F, opponents_table!B:B, "", 0)</f>
        <v/>
      </c>
    </row>
    <row r="131" spans="1:2" x14ac:dyDescent="0.35">
      <c r="A131" t="s">
        <v>469</v>
      </c>
      <c r="B131" t="str">
        <f>_xlfn.XLOOKUP(A131, opponents_table!F:F, opponents_table!B:B, "", 0)</f>
        <v/>
      </c>
    </row>
    <row r="132" spans="1:2" x14ac:dyDescent="0.35">
      <c r="A132" t="s">
        <v>470</v>
      </c>
      <c r="B132" t="str">
        <f>_xlfn.XLOOKUP(A132, opponents_table!F:F, opponents_table!B:B, "", 0)</f>
        <v/>
      </c>
    </row>
    <row r="133" spans="1:2" x14ac:dyDescent="0.35">
      <c r="A133" t="s">
        <v>471</v>
      </c>
      <c r="B133" t="str">
        <f>_xlfn.XLOOKUP(A133, opponents_table!F:F, opponents_table!B:B, "", 0)</f>
        <v/>
      </c>
    </row>
    <row r="134" spans="1:2" x14ac:dyDescent="0.35">
      <c r="A134" t="s">
        <v>472</v>
      </c>
      <c r="B134" t="str">
        <f>_xlfn.XLOOKUP(A134, opponents_table!F:F, opponents_table!B:B, "", 0)</f>
        <v/>
      </c>
    </row>
    <row r="135" spans="1:2" x14ac:dyDescent="0.35">
      <c r="A135" t="s">
        <v>473</v>
      </c>
      <c r="B135" t="str">
        <f>_xlfn.XLOOKUP(A135, opponents_table!F:F, opponents_table!B:B, "", 0)</f>
        <v/>
      </c>
    </row>
    <row r="136" spans="1:2" x14ac:dyDescent="0.35">
      <c r="A136" t="s">
        <v>474</v>
      </c>
      <c r="B136" t="str">
        <f>_xlfn.XLOOKUP(A136, opponents_table!F:F, opponents_table!B:B, "", 0)</f>
        <v/>
      </c>
    </row>
    <row r="137" spans="1:2" x14ac:dyDescent="0.35">
      <c r="A137" t="s">
        <v>475</v>
      </c>
      <c r="B137" t="str">
        <f>_xlfn.XLOOKUP(A137, opponents_table!F:F, opponents_table!B:B, "", 0)</f>
        <v/>
      </c>
    </row>
    <row r="138" spans="1:2" x14ac:dyDescent="0.35">
      <c r="A138" t="s">
        <v>476</v>
      </c>
      <c r="B138" t="str">
        <f>_xlfn.XLOOKUP(A138, opponents_table!F:F, opponents_table!B:B, "", 0)</f>
        <v/>
      </c>
    </row>
    <row r="139" spans="1:2" x14ac:dyDescent="0.35">
      <c r="A139" t="s">
        <v>477</v>
      </c>
      <c r="B139" t="str">
        <f>_xlfn.XLOOKUP(A139, opponents_table!F:F, opponents_table!B:B, "", 0)</f>
        <v/>
      </c>
    </row>
    <row r="140" spans="1:2" x14ac:dyDescent="0.35">
      <c r="A140" t="s">
        <v>478</v>
      </c>
      <c r="B140" t="str">
        <f>_xlfn.XLOOKUP(A140, opponents_table!F:F, opponents_table!B:B, "", 0)</f>
        <v/>
      </c>
    </row>
    <row r="141" spans="1:2" x14ac:dyDescent="0.35">
      <c r="A141" t="s">
        <v>479</v>
      </c>
      <c r="B141" t="str">
        <f>_xlfn.XLOOKUP(A141, opponents_table!F:F, opponents_table!B:B, "", 0)</f>
        <v/>
      </c>
    </row>
    <row r="142" spans="1:2" x14ac:dyDescent="0.35">
      <c r="A142" t="s">
        <v>480</v>
      </c>
      <c r="B142" t="str">
        <f>_xlfn.XLOOKUP(A142, opponents_table!F:F, opponents_table!B:B, "", 0)</f>
        <v>Ghost Whisperer Vera</v>
      </c>
    </row>
    <row r="143" spans="1:2" x14ac:dyDescent="0.35">
      <c r="A143" t="s">
        <v>481</v>
      </c>
      <c r="B143" t="str">
        <f>_xlfn.XLOOKUP(A143, opponents_table!F:F, opponents_table!B:B, "", 0)</f>
        <v>Hiker Matthew</v>
      </c>
    </row>
    <row r="144" spans="1:2" x14ac:dyDescent="0.35">
      <c r="A144" t="s">
        <v>482</v>
      </c>
      <c r="B144" t="str">
        <f>_xlfn.XLOOKUP(A144, opponents_table!F:F, opponents_table!B:B, "", 0)</f>
        <v/>
      </c>
    </row>
    <row r="145" spans="1:2" x14ac:dyDescent="0.35">
      <c r="A145" t="s">
        <v>483</v>
      </c>
      <c r="B145" t="str">
        <f>_xlfn.XLOOKUP(A145, opponents_table!F:F, opponents_table!B:B, "", 0)</f>
        <v/>
      </c>
    </row>
    <row r="146" spans="1:2" x14ac:dyDescent="0.35">
      <c r="A146" t="s">
        <v>484</v>
      </c>
      <c r="B146" t="str">
        <f>_xlfn.XLOOKUP(A146, opponents_table!F:F, opponents_table!B:B, "", 0)</f>
        <v>Doctor Mortimor</v>
      </c>
    </row>
    <row r="147" spans="1:2" x14ac:dyDescent="0.35">
      <c r="A147" t="s">
        <v>485</v>
      </c>
      <c r="B147" t="str">
        <f>_xlfn.XLOOKUP(A147, opponents_table!F:F, opponents_table!B:B, "", 0)</f>
        <v/>
      </c>
    </row>
    <row r="148" spans="1:2" x14ac:dyDescent="0.35">
      <c r="A148" t="s">
        <v>486</v>
      </c>
      <c r="B148" t="str">
        <f>_xlfn.XLOOKUP(A148, opponents_table!F:F, opponents_table!B:B, "", 0)</f>
        <v>Mad Scientist Leonard</v>
      </c>
    </row>
    <row r="149" spans="1:2" x14ac:dyDescent="0.35">
      <c r="A149" t="s">
        <v>487</v>
      </c>
      <c r="B149" t="str">
        <f>_xlfn.XLOOKUP(A149, opponents_table!F:F, opponents_table!B:B, "", 0)</f>
        <v>Lady Fiona</v>
      </c>
    </row>
    <row r="150" spans="1:2" x14ac:dyDescent="0.35">
      <c r="A150" t="s">
        <v>488</v>
      </c>
      <c r="B150" t="str">
        <f>_xlfn.XLOOKUP(A150, opponents_table!F:F, opponents_table!B:B, "", 0)</f>
        <v/>
      </c>
    </row>
    <row r="151" spans="1:2" x14ac:dyDescent="0.35">
      <c r="A151" t="s">
        <v>489</v>
      </c>
      <c r="B151" t="str">
        <f>_xlfn.XLOOKUP(A151, opponents_table!F:F, opponents_table!B:B, "", 0)</f>
        <v/>
      </c>
    </row>
    <row r="152" spans="1:2" x14ac:dyDescent="0.35">
      <c r="A152" t="s">
        <v>490</v>
      </c>
      <c r="B152" t="str">
        <f>_xlfn.XLOOKUP(A152, opponents_table!F:F, opponents_table!B:B, "", 0)</f>
        <v/>
      </c>
    </row>
    <row r="153" spans="1:2" x14ac:dyDescent="0.35">
      <c r="A153" t="s">
        <v>491</v>
      </c>
      <c r="B153" t="str">
        <f>_xlfn.XLOOKUP(A153, opponents_table!F:F, opponents_table!B:B, "", 0)</f>
        <v/>
      </c>
    </row>
    <row r="154" spans="1:2" x14ac:dyDescent="0.35">
      <c r="A154" t="s">
        <v>492</v>
      </c>
      <c r="B154" t="str">
        <f>_xlfn.XLOOKUP(A154, opponents_table!F:F, opponents_table!B:B, "", 0)</f>
        <v>Fisherman Gary</v>
      </c>
    </row>
    <row r="155" spans="1:2" x14ac:dyDescent="0.35">
      <c r="A155" t="s">
        <v>493</v>
      </c>
      <c r="B155" t="str">
        <f>_xlfn.XLOOKUP(A155, opponents_table!F:F, opponents_table!B:B, "", 0)</f>
        <v/>
      </c>
    </row>
    <row r="156" spans="1:2" x14ac:dyDescent="0.35">
      <c r="A156" t="s">
        <v>494</v>
      </c>
      <c r="B156" t="str">
        <f>_xlfn.XLOOKUP(A156, opponents_table!F:F, opponents_table!B:B, "", 0)</f>
        <v>Police Constable Floyd</v>
      </c>
    </row>
    <row r="157" spans="1:2" x14ac:dyDescent="0.35">
      <c r="A157" t="s">
        <v>495</v>
      </c>
      <c r="B157" t="str">
        <f>_xlfn.XLOOKUP(A157, opponents_table!F:F, opponents_table!B:B, "", 0)</f>
        <v/>
      </c>
    </row>
    <row r="158" spans="1:2" x14ac:dyDescent="0.35">
      <c r="A158" t="s">
        <v>496</v>
      </c>
      <c r="B158" t="str">
        <f>_xlfn.XLOOKUP(A158, opponents_table!F:F, opponents_table!B:B, "", 0)</f>
        <v/>
      </c>
    </row>
    <row r="159" spans="1:2" x14ac:dyDescent="0.35">
      <c r="A159" t="s">
        <v>497</v>
      </c>
      <c r="B159" t="str">
        <f>_xlfn.XLOOKUP(A159, opponents_table!F:F, opponents_table!B:B, "", 0)</f>
        <v>Card Elder Hamish</v>
      </c>
    </row>
    <row r="160" spans="1:2" x14ac:dyDescent="0.35">
      <c r="A160" t="s">
        <v>498</v>
      </c>
      <c r="B160" t="str">
        <f>_xlfn.XLOOKUP(A160, opponents_table!F:F, opponents_table!B:B, "", 0)</f>
        <v/>
      </c>
    </row>
    <row r="161" spans="1:2" x14ac:dyDescent="0.35">
      <c r="A161" t="s">
        <v>499</v>
      </c>
      <c r="B161" t="str">
        <f>_xlfn.XLOOKUP(A161, opponents_table!F:F, opponents_table!B:B, "", 0)</f>
        <v/>
      </c>
    </row>
    <row r="162" spans="1:2" x14ac:dyDescent="0.35">
      <c r="A162" t="s">
        <v>500</v>
      </c>
      <c r="B162" t="str">
        <f>_xlfn.XLOOKUP(A162, opponents_table!F:F, opponents_table!B:B, "", 0)</f>
        <v/>
      </c>
    </row>
    <row r="163" spans="1:2" x14ac:dyDescent="0.35">
      <c r="A163" t="s">
        <v>501</v>
      </c>
      <c r="B163" t="str">
        <f>_xlfn.XLOOKUP(A163, opponents_table!F:F, opponents_table!B:B, "", 0)</f>
        <v/>
      </c>
    </row>
    <row r="164" spans="1:2" x14ac:dyDescent="0.35">
      <c r="A164" t="s">
        <v>502</v>
      </c>
      <c r="B164" t="str">
        <f>_xlfn.XLOOKUP(A164, opponents_table!F:F, opponents_table!B:B, "", 0)</f>
        <v/>
      </c>
    </row>
    <row r="165" spans="1:2" x14ac:dyDescent="0.35">
      <c r="A165" t="s">
        <v>503</v>
      </c>
      <c r="B165" t="str">
        <f>_xlfn.XLOOKUP(A165, opponents_table!F:F, opponents_table!B:B, "", 0)</f>
        <v>Psychic Eli</v>
      </c>
    </row>
    <row r="166" spans="1:2" x14ac:dyDescent="0.35">
      <c r="A166" t="s">
        <v>504</v>
      </c>
      <c r="B166" t="str">
        <f>_xlfn.XLOOKUP(A166, opponents_table!F:F, opponents_table!B:B, "", 0)</f>
        <v/>
      </c>
    </row>
    <row r="167" spans="1:2" x14ac:dyDescent="0.35">
      <c r="A167" t="s">
        <v>505</v>
      </c>
      <c r="B167" t="str">
        <f>_xlfn.XLOOKUP(A167, opponents_table!F:F, opponents_table!B:B, "", 0)</f>
        <v>Nature Lover Erin</v>
      </c>
    </row>
    <row r="168" spans="1:2" x14ac:dyDescent="0.35">
      <c r="A168" t="s">
        <v>506</v>
      </c>
      <c r="B168" t="str">
        <f>_xlfn.XLOOKUP(A168, opponents_table!F:F, opponents_table!B:B, "", 0)</f>
        <v/>
      </c>
    </row>
    <row r="169" spans="1:2" x14ac:dyDescent="0.35">
      <c r="A169" t="s">
        <v>507</v>
      </c>
      <c r="B169" t="str">
        <f>_xlfn.XLOOKUP(A169, opponents_table!F:F, opponents_table!B:B, "", 0)</f>
        <v/>
      </c>
    </row>
    <row r="170" spans="1:2" x14ac:dyDescent="0.35">
      <c r="A170" t="s">
        <v>508</v>
      </c>
      <c r="B170" t="str">
        <f>_xlfn.XLOOKUP(A170, opponents_table!F:F, opponents_table!B:B, "", 0)</f>
        <v>Shady Character Owen</v>
      </c>
    </row>
    <row r="171" spans="1:2" x14ac:dyDescent="0.35">
      <c r="A171" t="s">
        <v>509</v>
      </c>
      <c r="B171" t="str">
        <f>_xlfn.XLOOKUP(A171, opponents_table!F:F, opponents_table!B:B, "", 0)</f>
        <v/>
      </c>
    </row>
    <row r="172" spans="1:2" x14ac:dyDescent="0.35">
      <c r="A172" t="s">
        <v>510</v>
      </c>
      <c r="B172" t="str">
        <f>_xlfn.XLOOKUP(A172, opponents_table!F:F, opponents_table!B:B, "", 0)</f>
        <v/>
      </c>
    </row>
    <row r="173" spans="1:2" x14ac:dyDescent="0.35">
      <c r="A173" t="s">
        <v>511</v>
      </c>
      <c r="B173" t="str">
        <f>_xlfn.XLOOKUP(A173, opponents_table!F:F, opponents_table!B:B, "", 0)</f>
        <v>Forest Ranger Tucker</v>
      </c>
    </row>
    <row r="174" spans="1:2" x14ac:dyDescent="0.35">
      <c r="A174" t="s">
        <v>512</v>
      </c>
      <c r="B174" t="str">
        <f>_xlfn.XLOOKUP(A174, opponents_table!F:F, opponents_table!B:B, "", 0)</f>
        <v>Gentleman Benedict</v>
      </c>
    </row>
    <row r="175" spans="1:2" x14ac:dyDescent="0.35">
      <c r="A175" t="s">
        <v>513</v>
      </c>
      <c r="B175" t="str">
        <f>_xlfn.XLOOKUP(A175, opponents_table!F:F, opponents_table!B:B, "", 0)</f>
        <v>Old Traveller Harold</v>
      </c>
    </row>
    <row r="176" spans="1:2" x14ac:dyDescent="0.35">
      <c r="A176" t="s">
        <v>514</v>
      </c>
      <c r="B176" t="str">
        <f>_xlfn.XLOOKUP(A176, opponents_table!F:F, opponents_table!B:B, "", 0)</f>
        <v/>
      </c>
    </row>
    <row r="177" spans="1:2" x14ac:dyDescent="0.35">
      <c r="A177" t="s">
        <v>515</v>
      </c>
      <c r="B177" t="str">
        <f>_xlfn.XLOOKUP(A177, opponents_table!F:F, opponents_table!B:B, "", 0)</f>
        <v/>
      </c>
    </row>
    <row r="178" spans="1:2" x14ac:dyDescent="0.35">
      <c r="A178" t="s">
        <v>516</v>
      </c>
      <c r="B178" t="str">
        <f>_xlfn.XLOOKUP(A178, opponents_table!F:F, opponents_table!B:B, "", 0)</f>
        <v/>
      </c>
    </row>
    <row r="179" spans="1:2" x14ac:dyDescent="0.35">
      <c r="A179" t="s">
        <v>517</v>
      </c>
      <c r="B179" t="str">
        <f>_xlfn.XLOOKUP(A179, opponents_table!F:F, opponents_table!B:B, "", 0)</f>
        <v/>
      </c>
    </row>
    <row r="180" spans="1:2" x14ac:dyDescent="0.35">
      <c r="A180" t="s">
        <v>518</v>
      </c>
      <c r="B180" t="str">
        <f>_xlfn.XLOOKUP(A180, opponents_table!F:F, opponents_table!B:B, "", 0)</f>
        <v/>
      </c>
    </row>
    <row r="181" spans="1:2" x14ac:dyDescent="0.35">
      <c r="A181" t="s">
        <v>519</v>
      </c>
      <c r="B181" t="str">
        <f>_xlfn.XLOOKUP(A181, opponents_table!F:F, opponents_table!B:B, "", 0)</f>
        <v>Veteran Sylvester</v>
      </c>
    </row>
    <row r="182" spans="1:2" x14ac:dyDescent="0.35">
      <c r="A182" t="s">
        <v>520</v>
      </c>
      <c r="B182" t="str">
        <f>_xlfn.XLOOKUP(A182, opponents_table!F:F, opponents_table!B:B, "", 0)</f>
        <v/>
      </c>
    </row>
    <row r="183" spans="1:2" x14ac:dyDescent="0.35">
      <c r="A183" t="s">
        <v>521</v>
      </c>
      <c r="B183" t="str">
        <f>_xlfn.XLOOKUP(A183, opponents_table!F:F, opponents_table!B:B, "", 0)</f>
        <v/>
      </c>
    </row>
    <row r="184" spans="1:2" x14ac:dyDescent="0.35">
      <c r="A184" t="s">
        <v>522</v>
      </c>
      <c r="B184" t="str">
        <f>_xlfn.XLOOKUP(A184, opponents_table!F:F, opponents_table!B:B, "", 0)</f>
        <v/>
      </c>
    </row>
    <row r="185" spans="1:2" x14ac:dyDescent="0.35">
      <c r="A185" t="s">
        <v>523</v>
      </c>
      <c r="B185" t="str">
        <f>_xlfn.XLOOKUP(A185, opponents_table!F:F, opponents_table!B:B, "", 0)</f>
        <v/>
      </c>
    </row>
    <row r="186" spans="1:2" x14ac:dyDescent="0.35">
      <c r="A186" t="s">
        <v>524</v>
      </c>
      <c r="B186" t="str">
        <f>_xlfn.XLOOKUP(A186, opponents_table!F:F, opponents_table!B:B, "", 0)</f>
        <v/>
      </c>
    </row>
    <row r="187" spans="1:2" x14ac:dyDescent="0.35">
      <c r="A187" t="s">
        <v>525</v>
      </c>
      <c r="B187" t="str">
        <f>_xlfn.XLOOKUP(A187, opponents_table!F:F, opponents_table!B:B, "", 0)</f>
        <v/>
      </c>
    </row>
    <row r="188" spans="1:2" x14ac:dyDescent="0.35">
      <c r="A188" t="s">
        <v>526</v>
      </c>
      <c r="B188" t="str">
        <f>_xlfn.XLOOKUP(A188, opponents_table!F:F, opponents_table!B:B, "", 0)</f>
        <v/>
      </c>
    </row>
    <row r="189" spans="1:2" x14ac:dyDescent="0.35">
      <c r="A189" t="s">
        <v>527</v>
      </c>
      <c r="B189" t="str">
        <f>_xlfn.XLOOKUP(A189, opponents_table!F:F, opponents_table!B:B, "", 0)</f>
        <v/>
      </c>
    </row>
    <row r="190" spans="1:2" x14ac:dyDescent="0.35">
      <c r="A190" t="s">
        <v>528</v>
      </c>
      <c r="B190" t="str">
        <f>_xlfn.XLOOKUP(A190, opponents_table!F:F, opponents_table!B:B, "", 0)</f>
        <v/>
      </c>
    </row>
    <row r="191" spans="1:2" x14ac:dyDescent="0.35">
      <c r="A191" t="s">
        <v>529</v>
      </c>
      <c r="B191" t="str">
        <f>_xlfn.XLOOKUP(A191, opponents_table!F:F, opponents_table!B:B, "", 0)</f>
        <v/>
      </c>
    </row>
    <row r="192" spans="1:2" x14ac:dyDescent="0.35">
      <c r="A192" t="s">
        <v>530</v>
      </c>
      <c r="B192" t="str">
        <f>_xlfn.XLOOKUP(A192, opponents_table!F:F, opponents_table!B:B, "", 0)</f>
        <v>Police Sergeant Douglas</v>
      </c>
    </row>
    <row r="193" spans="1:2" x14ac:dyDescent="0.35">
      <c r="A193" t="s">
        <v>531</v>
      </c>
      <c r="B193" t="str">
        <f>_xlfn.XLOOKUP(A193, opponents_table!F:F, opponents_table!B:B, "", 0)</f>
        <v>Hiker Walter</v>
      </c>
    </row>
    <row r="194" spans="1:2" x14ac:dyDescent="0.35">
      <c r="A194" t="s">
        <v>532</v>
      </c>
      <c r="B194" t="str">
        <f>_xlfn.XLOOKUP(A194, opponents_table!F:F, opponents_table!B:B, "", 0)</f>
        <v>Fisherman Dave</v>
      </c>
    </row>
    <row r="195" spans="1:2" x14ac:dyDescent="0.35">
      <c r="A195" t="s">
        <v>533</v>
      </c>
      <c r="B195" t="str">
        <f>_xlfn.XLOOKUP(A195, opponents_table!F:F, opponents_table!B:B, "", 0)</f>
        <v>Firebreather Darryl</v>
      </c>
    </row>
    <row r="196" spans="1:2" x14ac:dyDescent="0.35">
      <c r="A196" t="s">
        <v>534</v>
      </c>
      <c r="B196" t="str">
        <f>_xlfn.XLOOKUP(A196, opponents_table!F:F, opponents_table!B:B, "", 0)</f>
        <v/>
      </c>
    </row>
    <row r="197" spans="1:2" x14ac:dyDescent="0.35">
      <c r="A197" t="s">
        <v>535</v>
      </c>
      <c r="B197" t="str">
        <f>_xlfn.XLOOKUP(A197, opponents_table!F:F, opponents_table!B:B, "", 0)</f>
        <v/>
      </c>
    </row>
    <row r="198" spans="1:2" x14ac:dyDescent="0.35">
      <c r="A198" t="s">
        <v>536</v>
      </c>
      <c r="B198" t="str">
        <f>_xlfn.XLOOKUP(A198, opponents_table!F:F, opponents_table!B:B, "", 0)</f>
        <v>Guitarist Jonesy</v>
      </c>
    </row>
    <row r="199" spans="1:2" x14ac:dyDescent="0.35">
      <c r="A199" t="s">
        <v>537</v>
      </c>
      <c r="B199" t="str">
        <f>_xlfn.XLOOKUP(A199, opponents_table!F:F, opponents_table!B:B, "", 0)</f>
        <v>Youngster Cooper</v>
      </c>
    </row>
    <row r="200" spans="1:2" x14ac:dyDescent="0.35">
      <c r="A200" t="s">
        <v>538</v>
      </c>
      <c r="B200" t="str">
        <f>_xlfn.XLOOKUP(A200, opponents_table!F:F, opponents_table!B:B, "", 0)</f>
        <v/>
      </c>
    </row>
    <row r="201" spans="1:2" x14ac:dyDescent="0.35">
      <c r="A201" t="s">
        <v>539</v>
      </c>
      <c r="B201" t="str">
        <f>_xlfn.XLOOKUP(A201, opponents_table!F:F, opponents_table!B:B, "", 0)</f>
        <v>Battlegirl Sofia</v>
      </c>
    </row>
    <row r="202" spans="1:2" x14ac:dyDescent="0.35">
      <c r="A202" t="s">
        <v>540</v>
      </c>
      <c r="B202" t="str">
        <f>_xlfn.XLOOKUP(A202, opponents_table!F:F, opponents_table!B:B, "", 0)</f>
        <v/>
      </c>
    </row>
    <row r="203" spans="1:2" x14ac:dyDescent="0.35">
      <c r="A203" t="s">
        <v>541</v>
      </c>
      <c r="B203" t="str">
        <f>_xlfn.XLOOKUP(A203, opponents_table!F:F, opponents_table!B:B, "", 0)</f>
        <v/>
      </c>
    </row>
    <row r="204" spans="1:2" x14ac:dyDescent="0.35">
      <c r="A204" t="s">
        <v>542</v>
      </c>
      <c r="B204" t="str">
        <f>_xlfn.XLOOKUP(A204, opponents_table!F:F, opponents_table!B:B, "", 0)</f>
        <v/>
      </c>
    </row>
    <row r="205" spans="1:2" x14ac:dyDescent="0.35">
      <c r="A205" t="s">
        <v>543</v>
      </c>
      <c r="B205" t="str">
        <f>_xlfn.XLOOKUP(A205, opponents_table!F:F, opponents_table!B:B, "", 0)</f>
        <v/>
      </c>
    </row>
    <row r="206" spans="1:2" x14ac:dyDescent="0.35">
      <c r="A206" t="s">
        <v>544</v>
      </c>
      <c r="B206" t="str">
        <f>_xlfn.XLOOKUP(A206, opponents_table!F:F, opponents_table!B:B, "", 0)</f>
        <v/>
      </c>
    </row>
    <row r="207" spans="1:2" x14ac:dyDescent="0.35">
      <c r="A207" t="s">
        <v>545</v>
      </c>
      <c r="B207" t="str">
        <f>_xlfn.XLOOKUP(A207, opponents_table!F:F, opponents_table!B:B, "", 0)</f>
        <v/>
      </c>
    </row>
    <row r="208" spans="1:2" x14ac:dyDescent="0.35">
      <c r="A208" t="s">
        <v>546</v>
      </c>
      <c r="B208" t="str">
        <f>_xlfn.XLOOKUP(A208, opponents_table!F:F, opponents_table!B:B, "", 0)</f>
        <v/>
      </c>
    </row>
    <row r="209" spans="1:2" x14ac:dyDescent="0.35">
      <c r="A209" t="s">
        <v>547</v>
      </c>
      <c r="B209" t="str">
        <f>_xlfn.XLOOKUP(A209, opponents_table!F:F, opponents_table!B:B, "", 0)</f>
        <v/>
      </c>
    </row>
    <row r="210" spans="1:2" x14ac:dyDescent="0.35">
      <c r="A210" t="s">
        <v>548</v>
      </c>
      <c r="B210" t="str">
        <f>_xlfn.XLOOKUP(A210, opponents_table!F:F, opponents_table!B:B, "", 0)</f>
        <v/>
      </c>
    </row>
    <row r="211" spans="1:2" x14ac:dyDescent="0.35">
      <c r="A211" t="s">
        <v>549</v>
      </c>
      <c r="B211" t="str">
        <f>_xlfn.XLOOKUP(A211, opponents_table!F:F, opponents_table!B:B, "", 0)</f>
        <v/>
      </c>
    </row>
    <row r="212" spans="1:2" x14ac:dyDescent="0.35">
      <c r="A212" t="s">
        <v>550</v>
      </c>
      <c r="B212" t="str">
        <f>_xlfn.XLOOKUP(A212, opponents_table!F:F, opponents_table!B:B, "", 0)</f>
        <v>Psychic Brienne</v>
      </c>
    </row>
    <row r="213" spans="1:2" x14ac:dyDescent="0.35">
      <c r="A213" t="s">
        <v>551</v>
      </c>
      <c r="B213" t="str">
        <f>_xlfn.XLOOKUP(A213, opponents_table!F:F, opponents_table!B:B, "", 0)</f>
        <v/>
      </c>
    </row>
    <row r="214" spans="1:2" x14ac:dyDescent="0.35">
      <c r="A214" t="s">
        <v>552</v>
      </c>
      <c r="B214" t="str">
        <f>_xlfn.XLOOKUP(A214, opponents_table!F:F, opponents_table!B:B, "", 0)</f>
        <v/>
      </c>
    </row>
    <row r="215" spans="1:2" x14ac:dyDescent="0.35">
      <c r="A215" t="s">
        <v>553</v>
      </c>
      <c r="B215" t="str">
        <f>_xlfn.XLOOKUP(A215, opponents_table!F:F, opponents_table!B:B, "", 0)</f>
        <v/>
      </c>
    </row>
    <row r="216" spans="1:2" x14ac:dyDescent="0.35">
      <c r="A216" t="s">
        <v>554</v>
      </c>
      <c r="B216" t="str">
        <f>_xlfn.XLOOKUP(A216, opponents_table!F:F, opponents_table!B:B, "", 0)</f>
        <v/>
      </c>
    </row>
    <row r="217" spans="1:2" x14ac:dyDescent="0.35">
      <c r="A217" t="s">
        <v>555</v>
      </c>
      <c r="B217" t="str">
        <f>_xlfn.XLOOKUP(A217, opponents_table!F:F, opponents_table!B:B, "", 0)</f>
        <v>Bad Dude Paul</v>
      </c>
    </row>
    <row r="218" spans="1:2" x14ac:dyDescent="0.35">
      <c r="A218" t="s">
        <v>556</v>
      </c>
      <c r="B218" t="str">
        <f>_xlfn.XLOOKUP(A218, opponents_table!F:F, opponents_table!B:B, "", 0)</f>
        <v/>
      </c>
    </row>
    <row r="219" spans="1:2" x14ac:dyDescent="0.35">
      <c r="A219" t="s">
        <v>557</v>
      </c>
      <c r="B219" t="str">
        <f>_xlfn.XLOOKUP(A219, opponents_table!F:F, opponents_table!B:B, "", 0)</f>
        <v/>
      </c>
    </row>
    <row r="220" spans="1:2" x14ac:dyDescent="0.35">
      <c r="A220" t="s">
        <v>558</v>
      </c>
      <c r="B220" t="str">
        <f>_xlfn.XLOOKUP(A220, opponents_table!F:F, opponents_table!B:B, "", 0)</f>
        <v>Jogger Daniel</v>
      </c>
    </row>
    <row r="221" spans="1:2" x14ac:dyDescent="0.35">
      <c r="A221" t="s">
        <v>559</v>
      </c>
      <c r="B221" t="str">
        <f>_xlfn.XLOOKUP(A221, opponents_table!F:F, opponents_table!B:B, "", 0)</f>
        <v/>
      </c>
    </row>
    <row r="222" spans="1:2" x14ac:dyDescent="0.35">
      <c r="A222" t="s">
        <v>560</v>
      </c>
      <c r="B222" t="str">
        <f>_xlfn.XLOOKUP(A222, opponents_table!F:F, opponents_table!B:B, "", 0)</f>
        <v/>
      </c>
    </row>
    <row r="223" spans="1:2" x14ac:dyDescent="0.35">
      <c r="A223" t="s">
        <v>561</v>
      </c>
      <c r="B223" t="str">
        <f>_xlfn.XLOOKUP(A223, opponents_table!F:F, opponents_table!B:B, "", 0)</f>
        <v/>
      </c>
    </row>
    <row r="224" spans="1:2" x14ac:dyDescent="0.35">
      <c r="A224" t="s">
        <v>562</v>
      </c>
      <c r="B224" t="str">
        <f>_xlfn.XLOOKUP(A224, opponents_table!F:F, opponents_table!B:B, "", 0)</f>
        <v/>
      </c>
    </row>
    <row r="225" spans="1:2" x14ac:dyDescent="0.35">
      <c r="A225" t="s">
        <v>563</v>
      </c>
      <c r="B225" t="str">
        <f>_xlfn.XLOOKUP(A225, opponents_table!F:F, opponents_table!B:B, "", 0)</f>
        <v/>
      </c>
    </row>
    <row r="226" spans="1:2" x14ac:dyDescent="0.35">
      <c r="A226" t="s">
        <v>564</v>
      </c>
      <c r="B226" t="str">
        <f>_xlfn.XLOOKUP(A226, opponents_table!F:F, opponents_table!B:B, "", 0)</f>
        <v>Backpacker Patrick</v>
      </c>
    </row>
    <row r="227" spans="1:2" x14ac:dyDescent="0.35">
      <c r="A227" t="s">
        <v>565</v>
      </c>
      <c r="B227" t="str">
        <f>_xlfn.XLOOKUP(A227, opponents_table!F:F, opponents_table!B:B, "", 0)</f>
        <v/>
      </c>
    </row>
    <row r="228" spans="1:2" x14ac:dyDescent="0.35">
      <c r="A228" t="s">
        <v>566</v>
      </c>
      <c r="B228" t="str">
        <f>_xlfn.XLOOKUP(A228, opponents_table!F:F, opponents_table!B:B, "", 0)</f>
        <v/>
      </c>
    </row>
    <row r="229" spans="1:2" x14ac:dyDescent="0.35">
      <c r="A229" t="s">
        <v>567</v>
      </c>
      <c r="B229" t="str">
        <f>_xlfn.XLOOKUP(A229, opponents_table!F:F, opponents_table!B:B, "", 0)</f>
        <v/>
      </c>
    </row>
    <row r="230" spans="1:2" x14ac:dyDescent="0.35">
      <c r="A230" t="s">
        <v>568</v>
      </c>
      <c r="B230" t="str">
        <f>_xlfn.XLOOKUP(A230, opponents_table!F:F, opponents_table!B:B, "", 0)</f>
        <v/>
      </c>
    </row>
    <row r="231" spans="1:2" x14ac:dyDescent="0.35">
      <c r="A231" t="s">
        <v>569</v>
      </c>
      <c r="B231" t="str">
        <f>_xlfn.XLOOKUP(A231, opponents_table!F:F, opponents_table!B:B, "", 0)</f>
        <v/>
      </c>
    </row>
    <row r="232" spans="1:2" x14ac:dyDescent="0.35">
      <c r="A232" t="s">
        <v>570</v>
      </c>
      <c r="B232" t="str">
        <f>_xlfn.XLOOKUP(A232, opponents_table!F:F, opponents_table!B:B, "", 0)</f>
        <v>Youngster Milo</v>
      </c>
    </row>
    <row r="233" spans="1:2" x14ac:dyDescent="0.35">
      <c r="A233" t="s">
        <v>571</v>
      </c>
      <c r="B233" t="str">
        <f>_xlfn.XLOOKUP(A233, opponents_table!F:F, opponents_table!B:B, "", 0)</f>
        <v/>
      </c>
    </row>
    <row r="234" spans="1:2" x14ac:dyDescent="0.35">
      <c r="A234" t="s">
        <v>572</v>
      </c>
      <c r="B234" t="str">
        <f>_xlfn.XLOOKUP(A234, opponents_table!F:F, opponents_table!B:B, "", 0)</f>
        <v/>
      </c>
    </row>
    <row r="235" spans="1:2" x14ac:dyDescent="0.35">
      <c r="A235" t="s">
        <v>573</v>
      </c>
      <c r="B235" t="str">
        <f>_xlfn.XLOOKUP(A235, opponents_table!F:F, opponents_table!B:B, "", 0)</f>
        <v/>
      </c>
    </row>
    <row r="236" spans="1:2" x14ac:dyDescent="0.35">
      <c r="A236" t="s">
        <v>574</v>
      </c>
      <c r="B236" t="str">
        <f>_xlfn.XLOOKUP(A236, opponents_table!F:F, opponents_table!B:B, "", 0)</f>
        <v/>
      </c>
    </row>
    <row r="237" spans="1:2" x14ac:dyDescent="0.35">
      <c r="A237" t="s">
        <v>575</v>
      </c>
      <c r="B237" t="str">
        <f>_xlfn.XLOOKUP(A237, opponents_table!F:F, opponents_table!B:B, "", 0)</f>
        <v>Birdspotter Gregg</v>
      </c>
    </row>
    <row r="238" spans="1:2" x14ac:dyDescent="0.35">
      <c r="A238" t="s">
        <v>576</v>
      </c>
      <c r="B238" t="str">
        <f>_xlfn.XLOOKUP(A238, opponents_table!F:F, opponents_table!B:B, "", 0)</f>
        <v/>
      </c>
    </row>
    <row r="239" spans="1:2" x14ac:dyDescent="0.35">
      <c r="A239" t="s">
        <v>577</v>
      </c>
      <c r="B239" t="str">
        <f>_xlfn.XLOOKUP(A239, opponents_table!F:F, opponents_table!B:B, "", 0)</f>
        <v/>
      </c>
    </row>
    <row r="240" spans="1:2" x14ac:dyDescent="0.35">
      <c r="A240" t="s">
        <v>578</v>
      </c>
      <c r="B240" t="str">
        <f>_xlfn.XLOOKUP(A240, opponents_table!F:F, opponents_table!B:B, "", 0)</f>
        <v>Beach Kid Evie</v>
      </c>
    </row>
    <row r="241" spans="1:2" x14ac:dyDescent="0.35">
      <c r="A241" t="s">
        <v>579</v>
      </c>
      <c r="B241" t="str">
        <f>_xlfn.XLOOKUP(A241, opponents_table!F:F, opponents_table!B:B, "", 0)</f>
        <v/>
      </c>
    </row>
    <row r="242" spans="1:2" x14ac:dyDescent="0.35">
      <c r="A242" t="s">
        <v>580</v>
      </c>
      <c r="B242" t="str">
        <f>_xlfn.XLOOKUP(A242, opponents_table!F:F, opponents_table!B:B, "", 0)</f>
        <v/>
      </c>
    </row>
    <row r="243" spans="1:2" x14ac:dyDescent="0.35">
      <c r="A243" t="s">
        <v>581</v>
      </c>
      <c r="B243" t="str">
        <f>_xlfn.XLOOKUP(A243, opponents_table!F:F, opponents_table!B:B, "", 0)</f>
        <v>Pikachu Fan Marina</v>
      </c>
    </row>
    <row r="244" spans="1:2" x14ac:dyDescent="0.35">
      <c r="A244" t="s">
        <v>582</v>
      </c>
      <c r="B244" t="str">
        <f>_xlfn.XLOOKUP(A244, opponents_table!F:F, opponents_table!B:B, "", 0)</f>
        <v>Pikachu Fan Skye</v>
      </c>
    </row>
    <row r="245" spans="1:2" x14ac:dyDescent="0.35">
      <c r="A245" t="s">
        <v>583</v>
      </c>
      <c r="B245" t="str">
        <f>_xlfn.XLOOKUP(A245, opponents_table!F:F, opponents_table!B:B, "", 0)</f>
        <v>Pikachu Fan Cami</v>
      </c>
    </row>
    <row r="246" spans="1:2" x14ac:dyDescent="0.35">
      <c r="A246" t="s">
        <v>584</v>
      </c>
      <c r="B246" t="str">
        <f>_xlfn.XLOOKUP(A246, opponents_table!F:F, opponents_table!B:B, "", 0)</f>
        <v>Pikachu Fan Juniper</v>
      </c>
    </row>
    <row r="247" spans="1:2" x14ac:dyDescent="0.35">
      <c r="A247" t="s">
        <v>585</v>
      </c>
      <c r="B247" t="str">
        <f>_xlfn.XLOOKUP(A247, opponents_table!F:F, opponents_table!B:B, "", 0)</f>
        <v>Pikachu Fan Raye</v>
      </c>
    </row>
    <row r="248" spans="1:2" x14ac:dyDescent="0.35">
      <c r="A248" t="s">
        <v>586</v>
      </c>
      <c r="B248" t="str">
        <f>_xlfn.XLOOKUP(A248, opponents_table!F:F, opponents_table!B:B, "", 0)</f>
        <v>Pikachu Fan Leaf</v>
      </c>
    </row>
    <row r="249" spans="1:2" x14ac:dyDescent="0.35">
      <c r="A249" t="s">
        <v>587</v>
      </c>
      <c r="B249" t="str">
        <f>_xlfn.XLOOKUP(A249, opponents_table!F:F, opponents_table!B:B, "", 0)</f>
        <v/>
      </c>
    </row>
    <row r="250" spans="1:2" x14ac:dyDescent="0.35">
      <c r="A250" t="s">
        <v>588</v>
      </c>
      <c r="B250" t="str">
        <f>_xlfn.XLOOKUP(A250, opponents_table!F:F, opponents_table!B:B, "", 0)</f>
        <v/>
      </c>
    </row>
    <row r="251" spans="1:2" x14ac:dyDescent="0.35">
      <c r="A251" t="s">
        <v>589</v>
      </c>
      <c r="B251" t="str">
        <f>_xlfn.XLOOKUP(A251, opponents_table!F:F, opponents_table!B:B, "", 0)</f>
        <v/>
      </c>
    </row>
    <row r="252" spans="1:2" x14ac:dyDescent="0.35">
      <c r="A252" t="s">
        <v>590</v>
      </c>
      <c r="B252" t="str">
        <f>_xlfn.XLOOKUP(A252, opponents_table!F:F, opponents_table!B:B, "", 0)</f>
        <v/>
      </c>
    </row>
    <row r="253" spans="1:2" x14ac:dyDescent="0.35">
      <c r="A253" t="s">
        <v>591</v>
      </c>
      <c r="B253" t="str">
        <f>_xlfn.XLOOKUP(A253, opponents_table!F:F, opponents_table!B:B, "", 0)</f>
        <v/>
      </c>
    </row>
    <row r="254" spans="1:2" x14ac:dyDescent="0.35">
      <c r="A254" t="s">
        <v>592</v>
      </c>
      <c r="B254" t="str">
        <f>_xlfn.XLOOKUP(A254, opponents_table!F:F, opponents_table!B:B, "", 0)</f>
        <v/>
      </c>
    </row>
    <row r="255" spans="1:2" x14ac:dyDescent="0.35">
      <c r="A255" t="s">
        <v>593</v>
      </c>
      <c r="B255" t="str">
        <f>_xlfn.XLOOKUP(A255, opponents_table!F:F, opponents_table!B:B, "", 0)</f>
        <v>Bug Catcher Frankie</v>
      </c>
    </row>
    <row r="256" spans="1:2" x14ac:dyDescent="0.35">
      <c r="A256" t="s">
        <v>594</v>
      </c>
      <c r="B256" t="str">
        <f>_xlfn.XLOOKUP(A256, opponents_table!F:F, opponents_table!B:B, "", 0)</f>
        <v/>
      </c>
    </row>
    <row r="257" spans="1:2" x14ac:dyDescent="0.35">
      <c r="A257" t="s">
        <v>595</v>
      </c>
      <c r="B257" t="str">
        <f>_xlfn.XLOOKUP(A257, opponents_table!F:F, opponents_table!B:B, "", 0)</f>
        <v>Swimmer Jordan</v>
      </c>
    </row>
    <row r="258" spans="1:2" x14ac:dyDescent="0.35">
      <c r="A258" t="s">
        <v>596</v>
      </c>
      <c r="B258" t="str">
        <f>_xlfn.XLOOKUP(A258, opponents_table!F:F, opponents_table!B:B, "", 0)</f>
        <v/>
      </c>
    </row>
    <row r="259" spans="1:2" x14ac:dyDescent="0.35">
      <c r="A259" t="s">
        <v>597</v>
      </c>
      <c r="B259" t="str">
        <f>_xlfn.XLOOKUP(A259, opponents_table!F:F, opponents_table!B:B, "", 0)</f>
        <v>Firebreather Kenneth</v>
      </c>
    </row>
    <row r="260" spans="1:2" x14ac:dyDescent="0.35">
      <c r="A260" t="s">
        <v>598</v>
      </c>
      <c r="B260" t="str">
        <f>_xlfn.XLOOKUP(A260, opponents_table!F:F, opponents_table!B:B, "", 0)</f>
        <v/>
      </c>
    </row>
    <row r="261" spans="1:2" x14ac:dyDescent="0.35">
      <c r="A261" t="s">
        <v>599</v>
      </c>
      <c r="B261" t="str">
        <f>_xlfn.XLOOKUP(A261, opponents_table!F:F, opponents_table!B:B, "", 0)</f>
        <v/>
      </c>
    </row>
    <row r="262" spans="1:2" x14ac:dyDescent="0.35">
      <c r="A262" t="s">
        <v>600</v>
      </c>
      <c r="B262" t="str">
        <f>_xlfn.XLOOKUP(A262, opponents_table!F:F, opponents_table!B:B, "", 0)</f>
        <v/>
      </c>
    </row>
    <row r="263" spans="1:2" x14ac:dyDescent="0.35">
      <c r="A263" t="s">
        <v>601</v>
      </c>
      <c r="B263" t="str">
        <f>_xlfn.XLOOKUP(A263, opponents_table!F:F, opponents_table!B:B, "", 0)</f>
        <v/>
      </c>
    </row>
    <row r="264" spans="1:2" x14ac:dyDescent="0.35">
      <c r="A264" t="s">
        <v>602</v>
      </c>
      <c r="B264" t="str">
        <f>_xlfn.XLOOKUP(A264, opponents_table!F:F, opponents_table!B:B, "", 0)</f>
        <v>Gambler Victor</v>
      </c>
    </row>
    <row r="265" spans="1:2" x14ac:dyDescent="0.35">
      <c r="A265" t="s">
        <v>603</v>
      </c>
      <c r="B265" t="str">
        <f>_xlfn.XLOOKUP(A265, opponents_table!F:F, opponents_table!B:B, "", 0)</f>
        <v/>
      </c>
    </row>
    <row r="266" spans="1:2" x14ac:dyDescent="0.35">
      <c r="A266" t="s">
        <v>604</v>
      </c>
      <c r="B266" t="str">
        <f>_xlfn.XLOOKUP(A266, opponents_table!F:F, opponents_table!B:B, "", 0)</f>
        <v>Pikachu Mum</v>
      </c>
    </row>
    <row r="267" spans="1:2" x14ac:dyDescent="0.35">
      <c r="A267" t="s">
        <v>605</v>
      </c>
      <c r="B267" t="str">
        <f>_xlfn.XLOOKUP(A267, opponents_table!F:F, opponents_table!B:B, "", 0)</f>
        <v>Guitarist Howard</v>
      </c>
    </row>
    <row r="268" spans="1:2" x14ac:dyDescent="0.35">
      <c r="A268" t="s">
        <v>606</v>
      </c>
      <c r="B268" t="str">
        <f>_xlfn.XLOOKUP(A268, opponents_table!F:F, opponents_table!B:B, "", 0)</f>
        <v/>
      </c>
    </row>
    <row r="269" spans="1:2" x14ac:dyDescent="0.35">
      <c r="A269" t="s">
        <v>607</v>
      </c>
      <c r="B269" t="str">
        <f>_xlfn.XLOOKUP(A269, opponents_table!F:F, opponents_table!B:B, "", 0)</f>
        <v/>
      </c>
    </row>
    <row r="270" spans="1:2" x14ac:dyDescent="0.35">
      <c r="A270" t="s">
        <v>608</v>
      </c>
      <c r="B270" t="str">
        <f>_xlfn.XLOOKUP(A270, opponents_table!F:F, opponents_table!B:B, "", 0)</f>
        <v/>
      </c>
    </row>
    <row r="271" spans="1:2" x14ac:dyDescent="0.35">
      <c r="A271" t="s">
        <v>609</v>
      </c>
      <c r="B271" t="str">
        <f>_xlfn.XLOOKUP(A271, opponents_table!F:F, opponents_table!B:B, "", 0)</f>
        <v/>
      </c>
    </row>
    <row r="272" spans="1:2" x14ac:dyDescent="0.35">
      <c r="A272" t="s">
        <v>610</v>
      </c>
      <c r="B272" t="str">
        <f>_xlfn.XLOOKUP(A272, opponents_table!F:F, opponents_table!B:B, "", 0)</f>
        <v>Youngster Joey</v>
      </c>
    </row>
    <row r="273" spans="1:2" x14ac:dyDescent="0.35">
      <c r="A273" t="s">
        <v>611</v>
      </c>
      <c r="B273" t="str">
        <f>_xlfn.XLOOKUP(A273, opponents_table!F:F, opponents_table!B:B, "", 0)</f>
        <v/>
      </c>
    </row>
    <row r="274" spans="1:2" x14ac:dyDescent="0.35">
      <c r="A274" t="s">
        <v>612</v>
      </c>
      <c r="B274" t="str">
        <f>_xlfn.XLOOKUP(A274, opponents_table!F:F, opponents_table!B:B, "", 0)</f>
        <v/>
      </c>
    </row>
    <row r="275" spans="1:2" x14ac:dyDescent="0.35">
      <c r="A275" t="s">
        <v>613</v>
      </c>
      <c r="B275" t="str">
        <f>_xlfn.XLOOKUP(A275, opponents_table!F:F, opponents_table!B:B, "", 0)</f>
        <v/>
      </c>
    </row>
    <row r="276" spans="1:2" x14ac:dyDescent="0.35">
      <c r="A276" t="s">
        <v>614</v>
      </c>
      <c r="B276" t="str">
        <f>_xlfn.XLOOKUP(A276, opponents_table!F:F, opponents_table!B:B, "", 0)</f>
        <v/>
      </c>
    </row>
    <row r="277" spans="1:2" x14ac:dyDescent="0.35">
      <c r="A277" t="s">
        <v>615</v>
      </c>
      <c r="B277" t="str">
        <f>_xlfn.XLOOKUP(A277, opponents_table!F:F, opponents_table!B:B, "", 0)</f>
        <v/>
      </c>
    </row>
    <row r="278" spans="1:2" x14ac:dyDescent="0.35">
      <c r="A278" t="s">
        <v>616</v>
      </c>
      <c r="B278" t="str">
        <f>_xlfn.XLOOKUP(A278, opponents_table!F:F, opponents_table!B:B, "", 0)</f>
        <v/>
      </c>
    </row>
    <row r="279" spans="1:2" x14ac:dyDescent="0.35">
      <c r="A279" t="s">
        <v>617</v>
      </c>
      <c r="B279" t="str">
        <f>_xlfn.XLOOKUP(A279, opponents_table!F:F, opponents_table!B:B, "", 0)</f>
        <v/>
      </c>
    </row>
    <row r="280" spans="1:2" x14ac:dyDescent="0.35">
      <c r="A280" t="s">
        <v>618</v>
      </c>
      <c r="B280" t="str">
        <f>_xlfn.XLOOKUP(A280, opponents_table!F:F, opponents_table!B:B, "", 0)</f>
        <v/>
      </c>
    </row>
    <row r="281" spans="1:2" x14ac:dyDescent="0.35">
      <c r="A281" t="s">
        <v>619</v>
      </c>
      <c r="B281" t="str">
        <f>_xlfn.XLOOKUP(A281, opponents_table!F:F, opponents_table!B:B, "", 0)</f>
        <v/>
      </c>
    </row>
    <row r="282" spans="1:2" x14ac:dyDescent="0.35">
      <c r="A282" t="s">
        <v>620</v>
      </c>
      <c r="B282" t="str">
        <f>_xlfn.XLOOKUP(A282, opponents_table!F:F, opponents_table!B:B, "", 0)</f>
        <v/>
      </c>
    </row>
    <row r="283" spans="1:2" x14ac:dyDescent="0.35">
      <c r="A283" t="s">
        <v>621</v>
      </c>
      <c r="B283" t="str">
        <f>_xlfn.XLOOKUP(A283, opponents_table!F:F, opponents_table!B:B, "", 0)</f>
        <v/>
      </c>
    </row>
    <row r="284" spans="1:2" x14ac:dyDescent="0.35">
      <c r="A284" t="s">
        <v>622</v>
      </c>
      <c r="B284" t="str">
        <f>_xlfn.XLOOKUP(A284, opponents_table!F:F, opponents_table!B:B, "", 0)</f>
        <v/>
      </c>
    </row>
    <row r="285" spans="1:2" x14ac:dyDescent="0.35">
      <c r="A285" t="s">
        <v>623</v>
      </c>
      <c r="B285" t="str">
        <f>_xlfn.XLOOKUP(A285, opponents_table!F:F, opponents_table!B:B, "", 0)</f>
        <v/>
      </c>
    </row>
    <row r="286" spans="1:2" x14ac:dyDescent="0.35">
      <c r="A286" t="s">
        <v>624</v>
      </c>
      <c r="B286" t="str">
        <f>_xlfn.XLOOKUP(A286, opponents_table!F:F, opponents_table!B:B, "", 0)</f>
        <v/>
      </c>
    </row>
    <row r="287" spans="1:2" x14ac:dyDescent="0.35">
      <c r="A287" t="s">
        <v>625</v>
      </c>
      <c r="B287" t="str">
        <f>_xlfn.XLOOKUP(A287, opponents_table!F:F, opponents_table!B:B, "", 0)</f>
        <v/>
      </c>
    </row>
    <row r="288" spans="1:2" x14ac:dyDescent="0.35">
      <c r="A288" t="s">
        <v>626</v>
      </c>
      <c r="B288" t="str">
        <f>_xlfn.XLOOKUP(A288, opponents_table!F:F, opponents_table!B:B, "", 0)</f>
        <v/>
      </c>
    </row>
    <row r="289" spans="1:2" x14ac:dyDescent="0.35">
      <c r="A289" t="s">
        <v>627</v>
      </c>
      <c r="B289" t="str">
        <f>_xlfn.XLOOKUP(A289, opponents_table!F:F, opponents_table!B:B, "", 0)</f>
        <v/>
      </c>
    </row>
    <row r="290" spans="1:2" x14ac:dyDescent="0.35">
      <c r="A290" t="s">
        <v>628</v>
      </c>
      <c r="B290" t="str">
        <f>_xlfn.XLOOKUP(A290, opponents_table!F:F, opponents_table!B:B, "", 0)</f>
        <v/>
      </c>
    </row>
    <row r="291" spans="1:2" x14ac:dyDescent="0.35">
      <c r="A291" t="s">
        <v>629</v>
      </c>
      <c r="B291" t="str">
        <f>_xlfn.XLOOKUP(A291, opponents_table!F:F, opponents_table!B:B, "", 0)</f>
        <v/>
      </c>
    </row>
    <row r="292" spans="1:2" x14ac:dyDescent="0.35">
      <c r="A292" t="s">
        <v>630</v>
      </c>
      <c r="B292" t="str">
        <f>_xlfn.XLOOKUP(A292, opponents_table!F:F, opponents_table!B:B, "", 0)</f>
        <v/>
      </c>
    </row>
    <row r="293" spans="1:2" x14ac:dyDescent="0.35">
      <c r="A293" t="s">
        <v>631</v>
      </c>
      <c r="B293" t="str">
        <f>_xlfn.XLOOKUP(A293, opponents_table!F:F, opponents_table!B:B, "", 0)</f>
        <v/>
      </c>
    </row>
    <row r="294" spans="1:2" x14ac:dyDescent="0.35">
      <c r="A294" t="s">
        <v>632</v>
      </c>
      <c r="B294" t="str">
        <f>_xlfn.XLOOKUP(A294, opponents_table!F:F, opponents_table!B:B, "", 0)</f>
        <v>Clown Glenn</v>
      </c>
    </row>
    <row r="295" spans="1:2" x14ac:dyDescent="0.35">
      <c r="A295" t="s">
        <v>633</v>
      </c>
      <c r="B295" t="str">
        <f>_xlfn.XLOOKUP(A295, opponents_table!F:F, opponents_table!B:B, "", 0)</f>
        <v/>
      </c>
    </row>
    <row r="296" spans="1:2" x14ac:dyDescent="0.35">
      <c r="A296" t="s">
        <v>634</v>
      </c>
      <c r="B296" t="str">
        <f>_xlfn.XLOOKUP(A296, opponents_table!F:F, opponents_table!B:B, "", 0)</f>
        <v/>
      </c>
    </row>
    <row r="297" spans="1:2" x14ac:dyDescent="0.35">
      <c r="A297" t="s">
        <v>635</v>
      </c>
      <c r="B297" t="str">
        <f>_xlfn.XLOOKUP(A297, opponents_table!F:F, opponents_table!B:B, "", 0)</f>
        <v/>
      </c>
    </row>
    <row r="298" spans="1:2" x14ac:dyDescent="0.35">
      <c r="A298" t="s">
        <v>636</v>
      </c>
      <c r="B298" t="str">
        <f>_xlfn.XLOOKUP(A298, opponents_table!F:F, opponents_table!B:B, "", 0)</f>
        <v/>
      </c>
    </row>
    <row r="299" spans="1:2" x14ac:dyDescent="0.35">
      <c r="A299" t="s">
        <v>637</v>
      </c>
      <c r="B299" t="str">
        <f>_xlfn.XLOOKUP(A299, opponents_table!F:F, opponents_table!B:B, "", 0)</f>
        <v/>
      </c>
    </row>
    <row r="300" spans="1:2" x14ac:dyDescent="0.35">
      <c r="A300" t="s">
        <v>638</v>
      </c>
      <c r="B300" t="str">
        <f>_xlfn.XLOOKUP(A300, opponents_table!F:F, opponents_table!B:B, "", 0)</f>
        <v/>
      </c>
    </row>
    <row r="301" spans="1:2" x14ac:dyDescent="0.35">
      <c r="A301" t="s">
        <v>639</v>
      </c>
      <c r="B301" t="str">
        <f>_xlfn.XLOOKUP(A301, opponents_table!F:F, opponents_table!B:B, "", 0)</f>
        <v/>
      </c>
    </row>
    <row r="302" spans="1:2" x14ac:dyDescent="0.35">
      <c r="A302" t="s">
        <v>640</v>
      </c>
      <c r="B302" t="str">
        <f>_xlfn.XLOOKUP(A302, opponents_table!F:F, opponents_table!B:B, "", 0)</f>
        <v/>
      </c>
    </row>
    <row r="303" spans="1:2" x14ac:dyDescent="0.35">
      <c r="A303" t="s">
        <v>641</v>
      </c>
      <c r="B303" t="str">
        <f>_xlfn.XLOOKUP(A303, opponents_table!F:F, opponents_table!B:B, "", 0)</f>
        <v>Fisherman John</v>
      </c>
    </row>
    <row r="304" spans="1:2" x14ac:dyDescent="0.35">
      <c r="A304" t="s">
        <v>642</v>
      </c>
      <c r="B304" t="str">
        <f>_xlfn.XLOOKUP(A304, opponents_table!F:F, opponents_table!B:B, "", 0)</f>
        <v/>
      </c>
    </row>
    <row r="305" spans="1:2" x14ac:dyDescent="0.35">
      <c r="A305" t="s">
        <v>643</v>
      </c>
      <c r="B305" t="str">
        <f>_xlfn.XLOOKUP(A305, opponents_table!F:F, opponents_table!B:B, "", 0)</f>
        <v/>
      </c>
    </row>
    <row r="306" spans="1:2" x14ac:dyDescent="0.35">
      <c r="A306" t="s">
        <v>644</v>
      </c>
      <c r="B306" t="str">
        <f>_xlfn.XLOOKUP(A306, opponents_table!F:F, opponents_table!B:B, "", 0)</f>
        <v/>
      </c>
    </row>
    <row r="307" spans="1:2" x14ac:dyDescent="0.35">
      <c r="A307" t="s">
        <v>645</v>
      </c>
      <c r="B307" t="str">
        <f>_xlfn.XLOOKUP(A307, opponents_table!F:F, opponents_table!B:B, "", 0)</f>
        <v/>
      </c>
    </row>
    <row r="308" spans="1:2" x14ac:dyDescent="0.35">
      <c r="A308" t="s">
        <v>646</v>
      </c>
      <c r="B308" t="str">
        <f>_xlfn.XLOOKUP(A308, opponents_table!F:F, opponents_table!B:B, "", 0)</f>
        <v/>
      </c>
    </row>
    <row r="309" spans="1:2" x14ac:dyDescent="0.35">
      <c r="A309" t="s">
        <v>647</v>
      </c>
      <c r="B309" t="str">
        <f>_xlfn.XLOOKUP(A309, opponents_table!F:F, opponents_table!B:B, "", 0)</f>
        <v/>
      </c>
    </row>
    <row r="310" spans="1:2" x14ac:dyDescent="0.35">
      <c r="A310" t="s">
        <v>648</v>
      </c>
      <c r="B310" t="str">
        <f>_xlfn.XLOOKUP(A310, opponents_table!F:F, opponents_table!B:B, "", 0)</f>
        <v/>
      </c>
    </row>
    <row r="311" spans="1:2" x14ac:dyDescent="0.35">
      <c r="A311" t="s">
        <v>649</v>
      </c>
      <c r="B311" t="str">
        <f>_xlfn.XLOOKUP(A311, opponents_table!F:F, opponents_table!B:B, "", 0)</f>
        <v/>
      </c>
    </row>
    <row r="312" spans="1:2" x14ac:dyDescent="0.35">
      <c r="A312" t="s">
        <v>650</v>
      </c>
      <c r="B312" t="str">
        <f>_xlfn.XLOOKUP(A312, opponents_table!F:F, opponents_table!B:B, "", 0)</f>
        <v/>
      </c>
    </row>
    <row r="313" spans="1:2" x14ac:dyDescent="0.35">
      <c r="A313" t="s">
        <v>651</v>
      </c>
      <c r="B313" t="str">
        <f>_xlfn.XLOOKUP(A313, opponents_table!F:F, opponents_table!B:B, "", 0)</f>
        <v/>
      </c>
    </row>
    <row r="314" spans="1:2" x14ac:dyDescent="0.35">
      <c r="A314" t="s">
        <v>652</v>
      </c>
      <c r="B314" t="str">
        <f>_xlfn.XLOOKUP(A314, opponents_table!F:F, opponents_table!B:B, "", 0)</f>
        <v/>
      </c>
    </row>
    <row r="315" spans="1:2" x14ac:dyDescent="0.35">
      <c r="A315" t="s">
        <v>653</v>
      </c>
      <c r="B315" t="str">
        <f>_xlfn.XLOOKUP(A315, opponents_table!F:F, opponents_table!B:B, "", 0)</f>
        <v>Engineer Brad</v>
      </c>
    </row>
    <row r="316" spans="1:2" x14ac:dyDescent="0.35">
      <c r="A316" t="s">
        <v>654</v>
      </c>
      <c r="B316" t="str">
        <f>_xlfn.XLOOKUP(A316, opponents_table!F:F, opponents_table!B:B, "", 0)</f>
        <v/>
      </c>
    </row>
    <row r="317" spans="1:2" x14ac:dyDescent="0.35">
      <c r="A317" t="s">
        <v>655</v>
      </c>
      <c r="B317" t="str">
        <f>_xlfn.XLOOKUP(A317, opponents_table!F:F, opponents_table!B:B, "", 0)</f>
        <v/>
      </c>
    </row>
    <row r="318" spans="1:2" x14ac:dyDescent="0.35">
      <c r="A318" t="s">
        <v>656</v>
      </c>
      <c r="B318" t="str">
        <f>_xlfn.XLOOKUP(A318, opponents_table!F:F, opponents_table!B:B, "", 0)</f>
        <v/>
      </c>
    </row>
    <row r="319" spans="1:2" x14ac:dyDescent="0.35">
      <c r="A319" t="s">
        <v>657</v>
      </c>
      <c r="B319" t="str">
        <f>_xlfn.XLOOKUP(A319, opponents_table!F:F, opponents_table!B:B, "", 0)</f>
        <v/>
      </c>
    </row>
    <row r="320" spans="1:2" x14ac:dyDescent="0.35">
      <c r="A320" t="s">
        <v>658</v>
      </c>
      <c r="B320" t="str">
        <f>_xlfn.XLOOKUP(A320, opponents_table!F:F, opponents_table!B:B, "", 0)</f>
        <v/>
      </c>
    </row>
    <row r="321" spans="1:2" x14ac:dyDescent="0.35">
      <c r="A321" t="s">
        <v>659</v>
      </c>
      <c r="B321" t="str">
        <f>_xlfn.XLOOKUP(A321, opponents_table!F:F, opponents_table!B:B, "", 0)</f>
        <v/>
      </c>
    </row>
    <row r="322" spans="1:2" x14ac:dyDescent="0.35">
      <c r="A322" t="s">
        <v>660</v>
      </c>
      <c r="B322" t="str">
        <f>_xlfn.XLOOKUP(A322, opponents_table!F:F, opponents_table!B:B, "", 0)</f>
        <v/>
      </c>
    </row>
    <row r="323" spans="1:2" x14ac:dyDescent="0.35">
      <c r="A323" t="s">
        <v>661</v>
      </c>
      <c r="B323" t="str">
        <f>_xlfn.XLOOKUP(A323, opponents_table!F:F, opponents_table!B:B, "", 0)</f>
        <v/>
      </c>
    </row>
    <row r="324" spans="1:2" x14ac:dyDescent="0.35">
      <c r="A324" t="s">
        <v>662</v>
      </c>
      <c r="B324" t="str">
        <f>_xlfn.XLOOKUP(A324, opponents_table!F:F, opponents_table!B:B, "", 0)</f>
        <v>Swimmer Todd</v>
      </c>
    </row>
    <row r="325" spans="1:2" x14ac:dyDescent="0.35">
      <c r="A325" t="s">
        <v>663</v>
      </c>
      <c r="B325" t="str">
        <f>_xlfn.XLOOKUP(A325, opponents_table!F:F, opponents_table!B:B, "", 0)</f>
        <v/>
      </c>
    </row>
    <row r="326" spans="1:2" x14ac:dyDescent="0.35">
      <c r="A326" t="s">
        <v>664</v>
      </c>
      <c r="B326" t="str">
        <f>_xlfn.XLOOKUP(A326, opponents_table!F:F, opponents_table!B:B, "", 0)</f>
        <v/>
      </c>
    </row>
    <row r="327" spans="1:2" x14ac:dyDescent="0.35">
      <c r="A327" t="s">
        <v>665</v>
      </c>
      <c r="B327" t="str">
        <f>_xlfn.XLOOKUP(A327, opponents_table!F:F, opponents_table!B:B, "", 0)</f>
        <v/>
      </c>
    </row>
    <row r="328" spans="1:2" x14ac:dyDescent="0.35">
      <c r="A328" t="s">
        <v>666</v>
      </c>
      <c r="B328" t="str">
        <f>_xlfn.XLOOKUP(A328, opponents_table!F:F, opponents_table!B:B, "", 0)</f>
        <v/>
      </c>
    </row>
    <row r="329" spans="1:2" x14ac:dyDescent="0.35">
      <c r="A329" t="s">
        <v>667</v>
      </c>
      <c r="B329" t="str">
        <f>_xlfn.XLOOKUP(A329, opponents_table!F:F, opponents_table!B:B, "", 0)</f>
        <v/>
      </c>
    </row>
    <row r="330" spans="1:2" x14ac:dyDescent="0.35">
      <c r="A330" t="s">
        <v>668</v>
      </c>
      <c r="B330" t="str">
        <f>_xlfn.XLOOKUP(A330, opponents_table!F:F, opponents_table!B:B, "", 0)</f>
        <v/>
      </c>
    </row>
    <row r="331" spans="1:2" x14ac:dyDescent="0.35">
      <c r="A331" t="s">
        <v>669</v>
      </c>
      <c r="B331" t="str">
        <f>_xlfn.XLOOKUP(A331, opponents_table!F:F, opponents_table!B:B, "", 0)</f>
        <v/>
      </c>
    </row>
    <row r="332" spans="1:2" x14ac:dyDescent="0.35">
      <c r="A332" t="s">
        <v>670</v>
      </c>
      <c r="B332" t="str">
        <f>_xlfn.XLOOKUP(A332, opponents_table!F:F, opponents_table!B:B, "", 0)</f>
        <v/>
      </c>
    </row>
    <row r="333" spans="1:2" x14ac:dyDescent="0.35">
      <c r="A333" t="s">
        <v>671</v>
      </c>
      <c r="B333" t="str">
        <f>_xlfn.XLOOKUP(A333, opponents_table!F:F, opponents_table!B:B, "", 0)</f>
        <v/>
      </c>
    </row>
    <row r="334" spans="1:2" x14ac:dyDescent="0.35">
      <c r="A334" t="s">
        <v>672</v>
      </c>
      <c r="B334" t="str">
        <f>_xlfn.XLOOKUP(A334, opponents_table!F:F, opponents_table!B:B, "", 0)</f>
        <v/>
      </c>
    </row>
    <row r="335" spans="1:2" x14ac:dyDescent="0.35">
      <c r="A335" t="s">
        <v>673</v>
      </c>
      <c r="B335" t="str">
        <f>_xlfn.XLOOKUP(A335, opponents_table!F:F, opponents_table!B:B, "", 0)</f>
        <v/>
      </c>
    </row>
    <row r="336" spans="1:2" x14ac:dyDescent="0.35">
      <c r="A336" t="s">
        <v>674</v>
      </c>
      <c r="B336" t="str">
        <f>_xlfn.XLOOKUP(A336, opponents_table!F:F, opponents_table!B:B, "", 0)</f>
        <v/>
      </c>
    </row>
    <row r="337" spans="1:2" x14ac:dyDescent="0.35">
      <c r="A337" t="s">
        <v>675</v>
      </c>
      <c r="B337" t="str">
        <f>_xlfn.XLOOKUP(A337, opponents_table!F:F, opponents_table!B:B, "", 0)</f>
        <v/>
      </c>
    </row>
    <row r="338" spans="1:2" x14ac:dyDescent="0.35">
      <c r="A338" t="s">
        <v>676</v>
      </c>
      <c r="B338" t="str">
        <f>_xlfn.XLOOKUP(A338, opponents_table!F:F, opponents_table!B:B, "", 0)</f>
        <v/>
      </c>
    </row>
    <row r="339" spans="1:2" x14ac:dyDescent="0.35">
      <c r="A339" t="s">
        <v>677</v>
      </c>
      <c r="B339" t="str">
        <f>_xlfn.XLOOKUP(A339, opponents_table!F:F, opponents_table!B:B, "", 0)</f>
        <v/>
      </c>
    </row>
    <row r="340" spans="1:2" x14ac:dyDescent="0.35">
      <c r="A340" t="s">
        <v>678</v>
      </c>
      <c r="B340" t="str">
        <f>_xlfn.XLOOKUP(A340, opponents_table!F:F, opponents_table!B:B, "", 0)</f>
        <v/>
      </c>
    </row>
    <row r="341" spans="1:2" x14ac:dyDescent="0.35">
      <c r="A341" t="s">
        <v>679</v>
      </c>
      <c r="B341" t="str">
        <f>_xlfn.XLOOKUP(A341, opponents_table!F:F, opponents_table!B:B, "", 0)</f>
        <v/>
      </c>
    </row>
    <row r="342" spans="1:2" x14ac:dyDescent="0.35">
      <c r="A342" t="s">
        <v>680</v>
      </c>
      <c r="B342" t="str">
        <f>_xlfn.XLOOKUP(A342, opponents_table!F:F, opponents_table!B:B, "", 0)</f>
        <v>Clown Hubert</v>
      </c>
    </row>
    <row r="343" spans="1:2" x14ac:dyDescent="0.35">
      <c r="A343" t="s">
        <v>681</v>
      </c>
      <c r="B343" t="str">
        <f>_xlfn.XLOOKUP(A343, opponents_table!F:F, opponents_table!B:B, "", 0)</f>
        <v/>
      </c>
    </row>
    <row r="344" spans="1:2" x14ac:dyDescent="0.35">
      <c r="A344" t="s">
        <v>682</v>
      </c>
      <c r="B344" t="str">
        <f>_xlfn.XLOOKUP(A344, opponents_table!F:F, opponents_table!B:B, "", 0)</f>
        <v/>
      </c>
    </row>
    <row r="345" spans="1:2" x14ac:dyDescent="0.35">
      <c r="A345" t="s">
        <v>683</v>
      </c>
      <c r="B345" t="str">
        <f>_xlfn.XLOOKUP(A345, opponents_table!F:F, opponents_table!B:B, "", 0)</f>
        <v>Garden Manager Louis</v>
      </c>
    </row>
    <row r="346" spans="1:2" x14ac:dyDescent="0.35">
      <c r="A346" t="s">
        <v>684</v>
      </c>
      <c r="B346" t="str">
        <f>_xlfn.XLOOKUP(A346, opponents_table!F:F, opponents_table!B:B, "", 0)</f>
        <v/>
      </c>
    </row>
    <row r="347" spans="1:2" x14ac:dyDescent="0.35">
      <c r="A347" t="s">
        <v>685</v>
      </c>
      <c r="B347" t="str">
        <f>_xlfn.XLOOKUP(A347, opponents_table!F:F, opponents_table!B:B, "", 0)</f>
        <v/>
      </c>
    </row>
    <row r="348" spans="1:2" x14ac:dyDescent="0.35">
      <c r="A348" t="s">
        <v>686</v>
      </c>
      <c r="B348" t="str">
        <f>_xlfn.XLOOKUP(A348, opponents_table!F:F, opponents_table!B:B, "", 0)</f>
        <v/>
      </c>
    </row>
    <row r="349" spans="1:2" x14ac:dyDescent="0.35">
      <c r="A349" t="s">
        <v>687</v>
      </c>
      <c r="B349" t="str">
        <f>_xlfn.XLOOKUP(A349, opponents_table!F:F, opponents_table!B:B, "", 0)</f>
        <v>Engineer Allan</v>
      </c>
    </row>
    <row r="350" spans="1:2" x14ac:dyDescent="0.35">
      <c r="A350" t="s">
        <v>688</v>
      </c>
      <c r="B350" t="str">
        <f>_xlfn.XLOOKUP(A350, opponents_table!F:F, opponents_table!B:B, "", 0)</f>
        <v/>
      </c>
    </row>
    <row r="351" spans="1:2" x14ac:dyDescent="0.35">
      <c r="A351" t="s">
        <v>689</v>
      </c>
      <c r="B351" t="str">
        <f>_xlfn.XLOOKUP(A351, opponents_table!F:F, opponents_table!B:B, "", 0)</f>
        <v/>
      </c>
    </row>
    <row r="352" spans="1:2" x14ac:dyDescent="0.35">
      <c r="A352" t="s">
        <v>690</v>
      </c>
      <c r="B352" t="str">
        <f>_xlfn.XLOOKUP(A352, opponents_table!F:F, opponents_table!B:B, "", 0)</f>
        <v>Sailor Bob</v>
      </c>
    </row>
    <row r="353" spans="1:2" x14ac:dyDescent="0.35">
      <c r="A353" t="s">
        <v>691</v>
      </c>
      <c r="B353" t="str">
        <f>_xlfn.XLOOKUP(A353, opponents_table!F:F, opponents_table!B:B, "", 0)</f>
        <v/>
      </c>
    </row>
    <row r="354" spans="1:2" x14ac:dyDescent="0.35">
      <c r="A354" t="s">
        <v>692</v>
      </c>
      <c r="B354" t="str">
        <f>_xlfn.XLOOKUP(A354, opponents_table!F:F, opponents_table!B:B, "", 0)</f>
        <v/>
      </c>
    </row>
    <row r="355" spans="1:2" x14ac:dyDescent="0.35">
      <c r="A355" t="s">
        <v>693</v>
      </c>
      <c r="B355" t="str">
        <f>_xlfn.XLOOKUP(A355, opponents_table!F:F, opponents_table!B:B, "", 0)</f>
        <v>Bad Dude Wayne</v>
      </c>
    </row>
    <row r="356" spans="1:2" x14ac:dyDescent="0.35">
      <c r="A356" t="s">
        <v>694</v>
      </c>
      <c r="B356" t="str">
        <f>_xlfn.XLOOKUP(A356, opponents_table!F:F, opponents_table!B:B, "", 0)</f>
        <v>Card Elder Waverly</v>
      </c>
    </row>
    <row r="357" spans="1:2" x14ac:dyDescent="0.35">
      <c r="A357" t="s">
        <v>695</v>
      </c>
      <c r="B357" t="str">
        <f>_xlfn.XLOOKUP(A357, opponents_table!F:F, opponents_table!B:B, "", 0)</f>
        <v/>
      </c>
    </row>
    <row r="358" spans="1:2" x14ac:dyDescent="0.35">
      <c r="A358" t="s">
        <v>696</v>
      </c>
      <c r="B358" t="str">
        <f>_xlfn.XLOOKUP(A358, opponents_table!F:F, opponents_table!B:B, "", 0)</f>
        <v/>
      </c>
    </row>
    <row r="359" spans="1:2" x14ac:dyDescent="0.35">
      <c r="A359" t="s">
        <v>697</v>
      </c>
      <c r="B359" t="str">
        <f>_xlfn.XLOOKUP(A359, opponents_table!F:F, opponents_table!B:B, "", 0)</f>
        <v/>
      </c>
    </row>
    <row r="360" spans="1:2" x14ac:dyDescent="0.35">
      <c r="A360" t="s">
        <v>698</v>
      </c>
      <c r="B360" t="str">
        <f>_xlfn.XLOOKUP(A360, opponents_table!F:F, opponents_table!B:B, "", 0)</f>
        <v/>
      </c>
    </row>
    <row r="361" spans="1:2" x14ac:dyDescent="0.35">
      <c r="A361" t="s">
        <v>699</v>
      </c>
      <c r="B361" t="str">
        <f>_xlfn.XLOOKUP(A361, opponents_table!F:F, opponents_table!B:B, "", 0)</f>
        <v/>
      </c>
    </row>
    <row r="362" spans="1:2" x14ac:dyDescent="0.35">
      <c r="A362" t="s">
        <v>700</v>
      </c>
      <c r="B362" t="str">
        <f>_xlfn.XLOOKUP(A362, opponents_table!F:F, opponents_table!B:B, "", 0)</f>
        <v/>
      </c>
    </row>
    <row r="363" spans="1:2" x14ac:dyDescent="0.35">
      <c r="A363" t="s">
        <v>701</v>
      </c>
      <c r="B363" t="str">
        <f>_xlfn.XLOOKUP(A363, opponents_table!F:F, opponents_table!B:B, "", 0)</f>
        <v/>
      </c>
    </row>
    <row r="364" spans="1:2" x14ac:dyDescent="0.35">
      <c r="A364" t="s">
        <v>702</v>
      </c>
      <c r="B364" t="str">
        <f>_xlfn.XLOOKUP(A364, opponents_table!F:F, opponents_table!B:B, "", 0)</f>
        <v/>
      </c>
    </row>
    <row r="365" spans="1:2" x14ac:dyDescent="0.35">
      <c r="A365" t="s">
        <v>703</v>
      </c>
      <c r="B365" t="str">
        <f>_xlfn.XLOOKUP(A365, opponents_table!F:F, opponents_table!B:B, "", 0)</f>
        <v/>
      </c>
    </row>
    <row r="366" spans="1:2" x14ac:dyDescent="0.35">
      <c r="A366" t="s">
        <v>704</v>
      </c>
      <c r="B366" t="str">
        <f>_xlfn.XLOOKUP(A366, opponents_table!F:F, opponents_table!B:B, "", 0)</f>
        <v/>
      </c>
    </row>
    <row r="367" spans="1:2" x14ac:dyDescent="0.35">
      <c r="A367" t="s">
        <v>705</v>
      </c>
      <c r="B367" t="str">
        <f>_xlfn.XLOOKUP(A367, opponents_table!F:F, opponents_table!B:B, "", 0)</f>
        <v/>
      </c>
    </row>
    <row r="368" spans="1:2" x14ac:dyDescent="0.35">
      <c r="A368" t="s">
        <v>706</v>
      </c>
      <c r="B368" t="str">
        <f>_xlfn.XLOOKUP(A368, opponents_table!F:F, opponents_table!B:B, "", 0)</f>
        <v/>
      </c>
    </row>
    <row r="369" spans="1:2" x14ac:dyDescent="0.35">
      <c r="A369" t="s">
        <v>707</v>
      </c>
      <c r="B369" t="str">
        <f>_xlfn.XLOOKUP(A369, opponents_table!F:F, opponents_table!B:B, "", 0)</f>
        <v/>
      </c>
    </row>
    <row r="370" spans="1:2" x14ac:dyDescent="0.35">
      <c r="A370" t="s">
        <v>708</v>
      </c>
      <c r="B370" t="str">
        <f>_xlfn.XLOOKUP(A370, opponents_table!F:F, opponents_table!B:B, "", 0)</f>
        <v>Gym Hero Misty</v>
      </c>
    </row>
    <row r="371" spans="1:2" x14ac:dyDescent="0.35">
      <c r="A371" t="s">
        <v>709</v>
      </c>
      <c r="B371" t="str">
        <f>_xlfn.XLOOKUP(A371, opponents_table!F:F, opponents_table!B:B, "", 0)</f>
        <v/>
      </c>
    </row>
    <row r="372" spans="1:2" x14ac:dyDescent="0.35">
      <c r="A372" t="s">
        <v>710</v>
      </c>
      <c r="B372" t="str">
        <f>_xlfn.XLOOKUP(A372, opponents_table!F:F, opponents_table!B:B, "", 0)</f>
        <v>Gym Hero Blaine</v>
      </c>
    </row>
    <row r="373" spans="1:2" x14ac:dyDescent="0.35">
      <c r="A373" t="s">
        <v>711</v>
      </c>
      <c r="B373" t="str">
        <f>_xlfn.XLOOKUP(A373, opponents_table!F:F, opponents_table!B:B, "", 0)</f>
        <v/>
      </c>
    </row>
    <row r="374" spans="1:2" x14ac:dyDescent="0.35">
      <c r="A374" t="s">
        <v>712</v>
      </c>
      <c r="B374" t="str">
        <f>_xlfn.XLOOKUP(A374, opponents_table!F:F, opponents_table!B:B, "", 0)</f>
        <v/>
      </c>
    </row>
    <row r="375" spans="1:2" x14ac:dyDescent="0.35">
      <c r="A375" t="s">
        <v>713</v>
      </c>
      <c r="B375" t="str">
        <f>_xlfn.XLOOKUP(A375, opponents_table!F:F, opponents_table!B:B, "", 0)</f>
        <v/>
      </c>
    </row>
    <row r="376" spans="1:2" x14ac:dyDescent="0.35">
      <c r="A376" t="s">
        <v>714</v>
      </c>
      <c r="B376" t="str">
        <f>_xlfn.XLOOKUP(A376, opponents_table!F:F, opponents_table!B:B, "", 0)</f>
        <v>Gym Hero Brock</v>
      </c>
    </row>
    <row r="377" spans="1:2" x14ac:dyDescent="0.35">
      <c r="A377" t="s">
        <v>715</v>
      </c>
      <c r="B377" t="str">
        <f>_xlfn.XLOOKUP(A377, opponents_table!F:F, opponents_table!B:B, "", 0)</f>
        <v>Gym Hero Koga</v>
      </c>
    </row>
    <row r="378" spans="1:2" x14ac:dyDescent="0.35">
      <c r="A378" t="s">
        <v>716</v>
      </c>
      <c r="B378" t="str">
        <f>_xlfn.XLOOKUP(A378, opponents_table!F:F, opponents_table!B:B, "", 0)</f>
        <v/>
      </c>
    </row>
    <row r="379" spans="1:2" x14ac:dyDescent="0.35">
      <c r="A379" t="s">
        <v>717</v>
      </c>
      <c r="B379" t="str">
        <f>_xlfn.XLOOKUP(A379, opponents_table!F:F, opponents_table!B:B, "", 0)</f>
        <v/>
      </c>
    </row>
    <row r="380" spans="1:2" x14ac:dyDescent="0.35">
      <c r="A380" t="s">
        <v>718</v>
      </c>
      <c r="B380" t="str">
        <f>_xlfn.XLOOKUP(A380, opponents_table!F:F, opponents_table!B:B, "", 0)</f>
        <v>Gym Hero Sabrina</v>
      </c>
    </row>
    <row r="381" spans="1:2" x14ac:dyDescent="0.35">
      <c r="A381" t="s">
        <v>719</v>
      </c>
      <c r="B381" t="str">
        <f>_xlfn.XLOOKUP(A381, opponents_table!F:F, opponents_table!B:B, "", 0)</f>
        <v/>
      </c>
    </row>
    <row r="382" spans="1:2" x14ac:dyDescent="0.35">
      <c r="A382" t="s">
        <v>720</v>
      </c>
      <c r="B382" t="str">
        <f>_xlfn.XLOOKUP(A382, opponents_table!F:F, opponents_table!B:B, "", 0)</f>
        <v/>
      </c>
    </row>
    <row r="383" spans="1:2" x14ac:dyDescent="0.35">
      <c r="A383" t="s">
        <v>721</v>
      </c>
      <c r="B383" t="str">
        <f>_xlfn.XLOOKUP(A383, opponents_table!F:F, opponents_table!B:B, "", 0)</f>
        <v/>
      </c>
    </row>
    <row r="384" spans="1:2" x14ac:dyDescent="0.35">
      <c r="A384" t="s">
        <v>722</v>
      </c>
      <c r="B384" t="str">
        <f>_xlfn.XLOOKUP(A384, opponents_table!F:F, opponents_table!B:B, "", 0)</f>
        <v/>
      </c>
    </row>
    <row r="385" spans="1:2" x14ac:dyDescent="0.35">
      <c r="A385" t="s">
        <v>723</v>
      </c>
      <c r="B385" t="str">
        <f>_xlfn.XLOOKUP(A385, opponents_table!F:F, opponents_table!B:B, "", 0)</f>
        <v/>
      </c>
    </row>
    <row r="386" spans="1:2" x14ac:dyDescent="0.35">
      <c r="A386" t="s">
        <v>724</v>
      </c>
      <c r="B386" t="str">
        <f>_xlfn.XLOOKUP(A386, opponents_table!F:F, opponents_table!B:B, "", 0)</f>
        <v/>
      </c>
    </row>
    <row r="387" spans="1:2" x14ac:dyDescent="0.35">
      <c r="A387" t="s">
        <v>725</v>
      </c>
      <c r="B387" t="str">
        <f>_xlfn.XLOOKUP(A387, opponents_table!F:F, opponents_table!B:B, "", 0)</f>
        <v/>
      </c>
    </row>
    <row r="388" spans="1:2" x14ac:dyDescent="0.35">
      <c r="A388" t="s">
        <v>726</v>
      </c>
      <c r="B388" t="str">
        <f>_xlfn.XLOOKUP(A388, opponents_table!F:F, opponents_table!B:B, "", 0)</f>
        <v>Gym Hero Giovanni</v>
      </c>
    </row>
    <row r="389" spans="1:2" x14ac:dyDescent="0.35">
      <c r="A389" t="s">
        <v>727</v>
      </c>
      <c r="B389" t="str">
        <f>_xlfn.XLOOKUP(A389, opponents_table!F:F, opponents_table!B:B, "", 0)</f>
        <v/>
      </c>
    </row>
    <row r="390" spans="1:2" x14ac:dyDescent="0.35">
      <c r="A390" t="s">
        <v>728</v>
      </c>
      <c r="B390" t="str">
        <f>_xlfn.XLOOKUP(A390, opponents_table!F:F, opponents_table!B:B, "", 0)</f>
        <v>Rocket Boss Giovanni</v>
      </c>
    </row>
    <row r="391" spans="1:2" x14ac:dyDescent="0.35">
      <c r="A391" t="s">
        <v>729</v>
      </c>
      <c r="B391" t="str">
        <f>_xlfn.XLOOKUP(A391, opponents_table!F:F, opponents_table!B:B, "", 0)</f>
        <v/>
      </c>
    </row>
    <row r="392" spans="1:2" x14ac:dyDescent="0.35">
      <c r="A392" t="s">
        <v>730</v>
      </c>
      <c r="B392" t="str">
        <f>_xlfn.XLOOKUP(A392, opponents_table!F:F, opponents_table!B:B, "", 0)</f>
        <v/>
      </c>
    </row>
    <row r="393" spans="1:2" x14ac:dyDescent="0.35">
      <c r="A393" t="s">
        <v>731</v>
      </c>
      <c r="B393" t="str">
        <f>_xlfn.XLOOKUP(A393, opponents_table!F:F, opponents_table!B:B, "", 0)</f>
        <v/>
      </c>
    </row>
    <row r="394" spans="1:2" x14ac:dyDescent="0.35">
      <c r="A394" t="s">
        <v>732</v>
      </c>
      <c r="B394" t="str">
        <f>_xlfn.XLOOKUP(A394, opponents_table!F:F, opponents_table!B:B, "", 0)</f>
        <v>Gym Hero Lt. Surge</v>
      </c>
    </row>
    <row r="395" spans="1:2" x14ac:dyDescent="0.35">
      <c r="A395" t="s">
        <v>733</v>
      </c>
      <c r="B395" t="str">
        <f>_xlfn.XLOOKUP(A395, opponents_table!F:F, opponents_table!B:B, "", 0)</f>
        <v/>
      </c>
    </row>
    <row r="396" spans="1:2" x14ac:dyDescent="0.35">
      <c r="A396" t="s">
        <v>734</v>
      </c>
      <c r="B396" t="str">
        <f>_xlfn.XLOOKUP(A396, opponents_table!F:F, opponents_table!B:B, "", 0)</f>
        <v/>
      </c>
    </row>
    <row r="397" spans="1:2" x14ac:dyDescent="0.35">
      <c r="A397" t="s">
        <v>735</v>
      </c>
      <c r="B397" t="str">
        <f>_xlfn.XLOOKUP(A397, opponents_table!F:F, opponents_table!B:B, "", 0)</f>
        <v/>
      </c>
    </row>
    <row r="398" spans="1:2" x14ac:dyDescent="0.35">
      <c r="A398" t="s">
        <v>736</v>
      </c>
      <c r="B398" t="str">
        <f>_xlfn.XLOOKUP(A398, opponents_table!F:F, opponents_table!B:B, "", 0)</f>
        <v/>
      </c>
    </row>
    <row r="399" spans="1:2" x14ac:dyDescent="0.35">
      <c r="A399" t="s">
        <v>737</v>
      </c>
      <c r="B399" t="str">
        <f>_xlfn.XLOOKUP(A399, opponents_table!F:F, opponents_table!B:B, "", 0)</f>
        <v/>
      </c>
    </row>
    <row r="400" spans="1:2" x14ac:dyDescent="0.35">
      <c r="A400" t="s">
        <v>738</v>
      </c>
      <c r="B400" t="str">
        <f>_xlfn.XLOOKUP(A400, opponents_table!F:F, opponents_table!B:B, "", 0)</f>
        <v/>
      </c>
    </row>
    <row r="401" spans="1:2" x14ac:dyDescent="0.35">
      <c r="A401" t="s">
        <v>739</v>
      </c>
      <c r="B401" t="str">
        <f>_xlfn.XLOOKUP(A401, opponents_table!F:F, opponents_table!B:B, "", 0)</f>
        <v/>
      </c>
    </row>
    <row r="402" spans="1:2" x14ac:dyDescent="0.35">
      <c r="A402" t="s">
        <v>740</v>
      </c>
      <c r="B402" t="str">
        <f>_xlfn.XLOOKUP(A402, opponents_table!F:F, opponents_table!B:B, "", 0)</f>
        <v/>
      </c>
    </row>
    <row r="403" spans="1:2" x14ac:dyDescent="0.35">
      <c r="A403" t="s">
        <v>741</v>
      </c>
      <c r="B403" t="str">
        <f>_xlfn.XLOOKUP(A403, opponents_table!F:F, opponents_table!B:B, "", 0)</f>
        <v/>
      </c>
    </row>
    <row r="404" spans="1:2" x14ac:dyDescent="0.35">
      <c r="A404" t="s">
        <v>742</v>
      </c>
      <c r="B404" t="str">
        <f>_xlfn.XLOOKUP(A404, opponents_table!F:F, opponents_table!B:B, "", 0)</f>
        <v>Gym Hero Erika</v>
      </c>
    </row>
    <row r="405" spans="1:2" x14ac:dyDescent="0.35">
      <c r="A405" t="s">
        <v>743</v>
      </c>
      <c r="B405" t="str">
        <f>_xlfn.XLOOKUP(A405, opponents_table!F:F, opponents_table!B:B, "", 0)</f>
        <v/>
      </c>
    </row>
    <row r="406" spans="1:2" x14ac:dyDescent="0.35">
      <c r="A406" t="s">
        <v>744</v>
      </c>
      <c r="B406" t="str">
        <f>_xlfn.XLOOKUP(A406, opponents_table!F:F, opponents_table!B:B, "", 0)</f>
        <v/>
      </c>
    </row>
    <row r="407" spans="1:2" x14ac:dyDescent="0.35">
      <c r="A407" t="s">
        <v>745</v>
      </c>
      <c r="B407" t="str">
        <f>_xlfn.XLOOKUP(A407, opponents_table!F:F, opponents_table!B:B, "", 0)</f>
        <v/>
      </c>
    </row>
    <row r="408" spans="1:2" x14ac:dyDescent="0.35">
      <c r="A408" t="s">
        <v>746</v>
      </c>
      <c r="B408" t="str">
        <f>_xlfn.XLOOKUP(A408, opponents_table!F:F, opponents_table!B:B, "", 0)</f>
        <v/>
      </c>
    </row>
    <row r="409" spans="1:2" x14ac:dyDescent="0.35">
      <c r="A409" t="s">
        <v>747</v>
      </c>
      <c r="B409" t="str">
        <f>_xlfn.XLOOKUP(A409, opponents_table!F:F, opponents_table!B:B, "", 0)</f>
        <v/>
      </c>
    </row>
    <row r="410" spans="1:2" x14ac:dyDescent="0.35">
      <c r="A410" t="s">
        <v>748</v>
      </c>
      <c r="B410" t="str">
        <f>_xlfn.XLOOKUP(A410, opponents_table!F:F, opponents_table!B:B, "", 0)</f>
        <v/>
      </c>
    </row>
    <row r="411" spans="1:2" x14ac:dyDescent="0.35">
      <c r="A411" t="s">
        <v>749</v>
      </c>
      <c r="B411" t="str">
        <f>_xlfn.XLOOKUP(A411, opponents_table!F:F, opponents_table!B:B, "", 0)</f>
        <v/>
      </c>
    </row>
    <row r="412" spans="1:2" x14ac:dyDescent="0.35">
      <c r="A412" t="s">
        <v>750</v>
      </c>
      <c r="B412" t="str">
        <f>_xlfn.XLOOKUP(A412, opponents_table!F:F, opponents_table!B:B, "", 0)</f>
        <v/>
      </c>
    </row>
    <row r="413" spans="1:2" x14ac:dyDescent="0.35">
      <c r="A413" t="s">
        <v>751</v>
      </c>
      <c r="B413" t="str">
        <f>_xlfn.XLOOKUP(A413, opponents_table!F:F, opponents_table!B:B, "", 0)</f>
        <v/>
      </c>
    </row>
    <row r="414" spans="1:2" x14ac:dyDescent="0.35">
      <c r="A414" t="s">
        <v>752</v>
      </c>
      <c r="B414" t="str">
        <f>_xlfn.XLOOKUP(A414, opponents_table!F:F, opponents_table!B:B, "", 0)</f>
        <v/>
      </c>
    </row>
    <row r="415" spans="1:2" x14ac:dyDescent="0.35">
      <c r="A415" t="s">
        <v>753</v>
      </c>
      <c r="B415" t="str">
        <f>_xlfn.XLOOKUP(A415, opponents_table!F:F, opponents_table!B:B, "", 0)</f>
        <v/>
      </c>
    </row>
    <row r="416" spans="1:2" x14ac:dyDescent="0.35">
      <c r="A416" t="s">
        <v>754</v>
      </c>
      <c r="B416" t="str">
        <f>_xlfn.XLOOKUP(A416, opponents_table!F:F, opponents_table!B:B, "", 0)</f>
        <v/>
      </c>
    </row>
    <row r="417" spans="1:2" x14ac:dyDescent="0.35">
      <c r="A417" t="s">
        <v>755</v>
      </c>
      <c r="B417" t="str">
        <f>_xlfn.XLOOKUP(A417, opponents_table!F:F, opponents_table!B:B, "", 0)</f>
        <v/>
      </c>
    </row>
    <row r="418" spans="1:2" x14ac:dyDescent="0.35">
      <c r="A418" t="s">
        <v>756</v>
      </c>
      <c r="B418" t="str">
        <f>_xlfn.XLOOKUP(A418, opponents_table!F:F, opponents_table!B:B, "", 0)</f>
        <v/>
      </c>
    </row>
    <row r="419" spans="1:2" x14ac:dyDescent="0.35">
      <c r="A419" t="s">
        <v>757</v>
      </c>
      <c r="B419" t="str">
        <f>_xlfn.XLOOKUP(A419, opponents_table!F:F, opponents_table!B:B, "", 0)</f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opponents_table</vt:lpstr>
      <vt:lpstr>coins_table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2026-04-23T11:54:45Z</dcterms:created>
  <dcterms:modified xsi:type="dcterms:W3CDTF">2026-08-28T08:39:03Z</dcterms:modified>
</cp:coreProperties>
</file>